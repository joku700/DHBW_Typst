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589243\Documents\DH\BA\Typst Projekt\Bachelorarbeit\assets\Excels\"/>
    </mc:Choice>
  </mc:AlternateContent>
  <xr:revisionPtr revIDLastSave="0" documentId="13_ncr:1_{ED206922-CAD6-40C3-AC79-82742E834446}" xr6:coauthVersionLast="47" xr6:coauthVersionMax="47" xr10:uidLastSave="{00000000-0000-0000-0000-000000000000}"/>
  <bookViews>
    <workbookView xWindow="-108" yWindow="-108" windowWidth="23256" windowHeight="12456" xr2:uid="{53FE850B-7392-4F36-9CD0-52BEA65F1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<sst xmlns="http://schemas.openxmlformats.org/spreadsheetml/2006/main" count="47" uniqueCount="33">
  <si>
    <t>Kategorie</t>
  </si>
  <si>
    <t>Kriterium</t>
  </si>
  <si>
    <t>Jonas Sladek</t>
  </si>
  <si>
    <t>Ulrich Hullen</t>
  </si>
  <si>
    <t>Tim Polland</t>
  </si>
  <si>
    <t>Hannes Baum</t>
  </si>
  <si>
    <t>UX</t>
  </si>
  <si>
    <t>Jonas Röber</t>
  </si>
  <si>
    <t>Accessibility</t>
  </si>
  <si>
    <t>Wirtschaftlichkeit</t>
  </si>
  <si>
    <t>Betriebskosten</t>
  </si>
  <si>
    <t>Stabilität</t>
  </si>
  <si>
    <t>Wartbarkeit</t>
  </si>
  <si>
    <t>Erweiterbarkeit</t>
  </si>
  <si>
    <t>Einsatz von zukunftssicheren Technologien</t>
  </si>
  <si>
    <t>Sicherheit</t>
  </si>
  <si>
    <t>Fehlertoleranz</t>
  </si>
  <si>
    <t>Bewertung (1-10)</t>
  </si>
  <si>
    <t>Gewichtung (%)</t>
  </si>
  <si>
    <t xml:space="preserve">Reaktionszeit </t>
  </si>
  <si>
    <t xml:space="preserve">Responsiveness </t>
  </si>
  <si>
    <t>Generierungsgeschwindigkeit</t>
  </si>
  <si>
    <t>Darstellungskonsistenz (innerhalb einer Session)</t>
  </si>
  <si>
    <t>Mehrsprachigkeit</t>
  </si>
  <si>
    <t>Statusanzeige</t>
  </si>
  <si>
    <t>Support für Corporate Design</t>
  </si>
  <si>
    <t>Individualisierbarkeit</t>
  </si>
  <si>
    <t>Nachvollziehbarkeit</t>
  </si>
  <si>
    <t>Implementierungsaufwand</t>
  </si>
  <si>
    <t>Funktionale Konsistenz (sessionübergreifend)</t>
  </si>
  <si>
    <t>Manipulationssicherheit</t>
  </si>
  <si>
    <t>Durchschnitt</t>
  </si>
  <si>
    <t>Einzelbewertungen (1-10)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</si>
</sst>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E2ED-9403-4FCB-8906-1740B1518B4A}">
  <dimension ref="A1:I20"/>
  <sheetViews>
    <sheetView tabSelected="1" topLeftCell="B1" zoomScale="112" zoomScaleNormal="112" workbookViewId="0">
      <selection activeCell="J4" sqref="J4"/>
    </sheetView>
  </sheetViews>
  <sheetFormatPr defaultRowHeight="14.4" x14ac:dyDescent="0.3"/>
  <cols>
    <col min="1" max="1" width="15.21875" bestFit="1" customWidth="1"/>
    <col min="2" max="2" width="46.77734375" bestFit="1" customWidth="1"/>
    <col min="3" max="3" width="12.44140625" bestFit="1" customWidth="1"/>
    <col min="4" max="4" width="11.44140625" bestFit="1" customWidth="1"/>
    <col min="5" max="5" width="10.6640625" bestFit="1" customWidth="1"/>
    <col min="6" max="6" width="11.44140625" bestFit="1" customWidth="1"/>
    <col min="7" max="7" width="10.77734375" bestFit="1" customWidth="1"/>
    <col min="8" max="8" width="14.77734375" bestFit="1" customWidth="1"/>
    <col min="9" max="9" width="13.77734375" bestFit="1" customWidth="1"/>
    <col min="10" max="10" width="13.6640625" bestFit="1" customWidth="1"/>
    <col min="11" max="11" width="14.77734375" bestFit="1" customWidth="1"/>
    <col min="12" max="12" width="13.6640625" bestFit="1" customWidth="1"/>
    <col min="13" max="13" width="14.77734375" bestFit="1" customWidth="1"/>
    <col min="14" max="14" width="13.6640625" bestFit="1" customWidth="1"/>
  </cols>
  <sheetData>
    <row r="1" spans="1:9" x14ac:dyDescent="0.3">
      <c r="A1" s="3" t="s">
        <v>0</v>
      </c>
      <c r="B1" s="3" t="s">
        <v>1</v>
      </c>
      <c r="C1" s="2" t="s">
        <v>32</v>
      </c>
      <c r="D1" s="2"/>
      <c r="E1" s="2"/>
      <c r="F1" s="2"/>
      <c r="G1" s="2"/>
      <c r="H1" s="2" t="s">
        <v>31</v>
      </c>
      <c r="I1" s="2"/>
    </row>
    <row r="2" spans="1:9" x14ac:dyDescent="0.3">
      <c r="A2" s="3"/>
      <c r="B2" s="3"/>
      <c r="C2" s="1" t="s">
        <v>5</v>
      </c>
      <c r="D2" t="s">
        <v>3</v>
      </c>
      <c r="E2" s="1" t="s">
        <v>4</v>
      </c>
      <c r="F2" t="s">
        <v>2</v>
      </c>
      <c r="G2" s="1" t="s">
        <v>7</v>
      </c>
      <c r="H2" s="1" t="s">
        <v>17</v>
      </c>
      <c r="I2" t="s">
        <v>18</v>
      </c>
    </row>
    <row r="3" spans="1:9" x14ac:dyDescent="0.3">
      <c r="A3" t="s">
        <v>6</v>
      </c>
      <c r="B3" t="s">
        <v>19</v>
      </c>
      <c r="C3">
        <v>10</v>
      </c>
      <c r="D3">
        <v>6</v>
      </c>
      <c r="E3">
        <v>10</v>
      </c>
      <c r="F3">
        <v>9</v>
      </c>
      <c r="G3">
        <v>9</v>
      </c>
      <c r="H3">
        <f t="shared" ref="H3:H20" si="0">AVERAGE(C3,D3,E3,F3,G3)</f>
        <v>8.8000000000000007</v>
      </c>
      <c r="I3" cm="1">
        <f t="array" ref="I3:I20">IFERROR(ROUND(H3:H20/SUM(H3:H20)*100,2), "")</f>
        <v>7.32</v>
      </c>
    </row>
    <row r="4" spans="1:9" x14ac:dyDescent="0.3">
      <c r="A4" t="s">
        <v>6</v>
      </c>
      <c r="B4" t="s">
        <v>8</v>
      </c>
      <c r="C4">
        <v>1</v>
      </c>
      <c r="D4">
        <v>4</v>
      </c>
      <c r="E4">
        <v>5</v>
      </c>
      <c r="F4">
        <v>7</v>
      </c>
      <c r="G4">
        <v>7</v>
      </c>
      <c r="H4">
        <f t="shared" si="0"/>
        <v>4.8</v>
      </c>
      <c r="I4">
        <v>3.99</v>
      </c>
    </row>
    <row r="5" spans="1:9" x14ac:dyDescent="0.3">
      <c r="A5" t="s">
        <v>6</v>
      </c>
      <c r="B5" t="s">
        <v>20</v>
      </c>
      <c r="C5">
        <v>5</v>
      </c>
      <c r="D5">
        <v>4</v>
      </c>
      <c r="E5">
        <v>6</v>
      </c>
      <c r="F5">
        <v>6</v>
      </c>
      <c r="G5">
        <v>8</v>
      </c>
      <c r="H5">
        <f t="shared" si="0"/>
        <v>5.8</v>
      </c>
      <c r="I5">
        <v>4.83</v>
      </c>
    </row>
    <row r="6" spans="1:9" x14ac:dyDescent="0.3">
      <c r="A6" t="s">
        <v>6</v>
      </c>
      <c r="B6" t="s">
        <v>21</v>
      </c>
      <c r="C6">
        <v>10</v>
      </c>
      <c r="D6">
        <v>6</v>
      </c>
      <c r="E6">
        <v>10</v>
      </c>
      <c r="F6">
        <v>9</v>
      </c>
      <c r="G6">
        <v>8</v>
      </c>
      <c r="H6">
        <f t="shared" si="0"/>
        <v>8.6</v>
      </c>
      <c r="I6">
        <v>7.15</v>
      </c>
    </row>
    <row r="7" spans="1:9" x14ac:dyDescent="0.3">
      <c r="A7" t="s">
        <v>6</v>
      </c>
      <c r="B7" t="s">
        <v>22</v>
      </c>
      <c r="C7">
        <v>8</v>
      </c>
      <c r="D7">
        <v>6</v>
      </c>
      <c r="E7">
        <v>8</v>
      </c>
      <c r="F7">
        <v>8</v>
      </c>
      <c r="G7">
        <v>7</v>
      </c>
      <c r="H7">
        <f t="shared" si="0"/>
        <v>7.4</v>
      </c>
      <c r="I7">
        <v>6.16</v>
      </c>
    </row>
    <row r="8" spans="1:9" x14ac:dyDescent="0.3">
      <c r="A8" t="s">
        <v>6</v>
      </c>
      <c r="B8" t="s">
        <v>23</v>
      </c>
      <c r="C8">
        <v>5</v>
      </c>
      <c r="D8">
        <v>6</v>
      </c>
      <c r="E8">
        <v>8</v>
      </c>
      <c r="F8">
        <v>6</v>
      </c>
      <c r="G8">
        <v>6</v>
      </c>
      <c r="H8">
        <f t="shared" si="0"/>
        <v>6.2</v>
      </c>
      <c r="I8">
        <v>5.16</v>
      </c>
    </row>
    <row r="9" spans="1:9" x14ac:dyDescent="0.3">
      <c r="A9" t="s">
        <v>6</v>
      </c>
      <c r="B9" t="s">
        <v>24</v>
      </c>
      <c r="C9">
        <v>5</v>
      </c>
      <c r="D9">
        <v>4</v>
      </c>
      <c r="E9">
        <v>8</v>
      </c>
      <c r="F9">
        <v>9</v>
      </c>
      <c r="G9">
        <v>8</v>
      </c>
      <c r="H9">
        <f t="shared" si="0"/>
        <v>6.8</v>
      </c>
      <c r="I9">
        <v>5.66</v>
      </c>
    </row>
    <row r="10" spans="1:9" x14ac:dyDescent="0.3">
      <c r="A10" t="s">
        <v>6</v>
      </c>
      <c r="B10" t="s">
        <v>25</v>
      </c>
      <c r="C10">
        <v>3</v>
      </c>
      <c r="D10">
        <v>2</v>
      </c>
      <c r="E10">
        <v>3</v>
      </c>
      <c r="F10">
        <v>3</v>
      </c>
      <c r="G10">
        <v>7</v>
      </c>
      <c r="H10">
        <f t="shared" si="0"/>
        <v>3.6</v>
      </c>
      <c r="I10">
        <v>3</v>
      </c>
    </row>
    <row r="11" spans="1:9" x14ac:dyDescent="0.3">
      <c r="A11" t="s">
        <v>6</v>
      </c>
      <c r="B11" t="s">
        <v>26</v>
      </c>
      <c r="C11">
        <v>1</v>
      </c>
      <c r="D11">
        <v>2</v>
      </c>
      <c r="E11">
        <v>3</v>
      </c>
      <c r="F11">
        <v>2</v>
      </c>
      <c r="G11">
        <v>5</v>
      </c>
      <c r="H11">
        <f t="shared" si="0"/>
        <v>2.6</v>
      </c>
      <c r="I11">
        <v>2.16</v>
      </c>
    </row>
    <row r="12" spans="1:9" x14ac:dyDescent="0.3">
      <c r="A12" t="s">
        <v>6</v>
      </c>
      <c r="B12" t="s">
        <v>16</v>
      </c>
      <c r="C12">
        <v>3</v>
      </c>
      <c r="D12">
        <v>8</v>
      </c>
      <c r="E12">
        <v>9</v>
      </c>
      <c r="F12">
        <v>8</v>
      </c>
      <c r="G12">
        <v>9</v>
      </c>
      <c r="H12">
        <f t="shared" si="0"/>
        <v>7.4</v>
      </c>
      <c r="I12">
        <v>6.16</v>
      </c>
    </row>
    <row r="13" spans="1:9" x14ac:dyDescent="0.3">
      <c r="A13" t="s">
        <v>6</v>
      </c>
      <c r="B13" t="s">
        <v>27</v>
      </c>
      <c r="C13">
        <v>5</v>
      </c>
      <c r="D13">
        <v>2</v>
      </c>
      <c r="E13">
        <v>8</v>
      </c>
      <c r="F13">
        <v>6</v>
      </c>
      <c r="G13">
        <v>8</v>
      </c>
      <c r="H13">
        <f t="shared" si="0"/>
        <v>5.8</v>
      </c>
      <c r="I13">
        <v>4.83</v>
      </c>
    </row>
    <row r="14" spans="1:9" x14ac:dyDescent="0.3">
      <c r="A14" t="s">
        <v>9</v>
      </c>
      <c r="B14" t="s">
        <v>10</v>
      </c>
      <c r="C14">
        <v>10</v>
      </c>
      <c r="D14">
        <v>8</v>
      </c>
      <c r="E14">
        <v>9</v>
      </c>
      <c r="F14">
        <v>9</v>
      </c>
      <c r="G14">
        <v>7</v>
      </c>
      <c r="H14">
        <f t="shared" si="0"/>
        <v>8.6</v>
      </c>
      <c r="I14">
        <v>7.15</v>
      </c>
    </row>
    <row r="15" spans="1:9" x14ac:dyDescent="0.3">
      <c r="A15" t="s">
        <v>9</v>
      </c>
      <c r="B15" t="s">
        <v>28</v>
      </c>
      <c r="C15">
        <v>5</v>
      </c>
      <c r="D15">
        <v>8</v>
      </c>
      <c r="E15">
        <v>8</v>
      </c>
      <c r="F15">
        <v>8</v>
      </c>
      <c r="G15">
        <v>6</v>
      </c>
      <c r="H15">
        <f t="shared" si="0"/>
        <v>7</v>
      </c>
      <c r="I15">
        <v>5.82</v>
      </c>
    </row>
    <row r="16" spans="1:9" x14ac:dyDescent="0.3">
      <c r="A16" t="s">
        <v>11</v>
      </c>
      <c r="B16" t="s">
        <v>12</v>
      </c>
      <c r="C16">
        <v>6</v>
      </c>
      <c r="D16">
        <v>6</v>
      </c>
      <c r="E16">
        <v>9</v>
      </c>
      <c r="F16">
        <v>7</v>
      </c>
      <c r="G16">
        <v>8</v>
      </c>
      <c r="H16">
        <f t="shared" si="0"/>
        <v>7.2</v>
      </c>
      <c r="I16">
        <v>5.99</v>
      </c>
    </row>
    <row r="17" spans="1:9" x14ac:dyDescent="0.3">
      <c r="A17" t="s">
        <v>11</v>
      </c>
      <c r="B17" t="s">
        <v>13</v>
      </c>
      <c r="C17">
        <v>8</v>
      </c>
      <c r="D17">
        <v>4</v>
      </c>
      <c r="E17">
        <v>9</v>
      </c>
      <c r="F17">
        <v>6</v>
      </c>
      <c r="G17">
        <v>7</v>
      </c>
      <c r="H17">
        <f t="shared" si="0"/>
        <v>6.8</v>
      </c>
      <c r="I17">
        <v>5.66</v>
      </c>
    </row>
    <row r="18" spans="1:9" x14ac:dyDescent="0.3">
      <c r="A18" t="s">
        <v>11</v>
      </c>
      <c r="B18" t="s">
        <v>14</v>
      </c>
      <c r="C18">
        <v>8</v>
      </c>
      <c r="D18">
        <v>4</v>
      </c>
      <c r="E18">
        <v>8</v>
      </c>
      <c r="F18">
        <v>9</v>
      </c>
      <c r="G18">
        <v>6</v>
      </c>
      <c r="H18">
        <f t="shared" si="0"/>
        <v>7</v>
      </c>
      <c r="I18">
        <v>5.82</v>
      </c>
    </row>
    <row r="19" spans="1:9" x14ac:dyDescent="0.3">
      <c r="A19" t="s">
        <v>11</v>
      </c>
      <c r="B19" t="s">
        <v>29</v>
      </c>
      <c r="C19">
        <v>5</v>
      </c>
      <c r="D19">
        <v>8</v>
      </c>
      <c r="E19">
        <v>6</v>
      </c>
      <c r="F19">
        <v>9</v>
      </c>
      <c r="G19">
        <v>7</v>
      </c>
      <c r="H19">
        <f t="shared" si="0"/>
        <v>7</v>
      </c>
      <c r="I19">
        <v>5.82</v>
      </c>
    </row>
    <row r="20" spans="1:9" x14ac:dyDescent="0.3">
      <c r="A20" t="s">
        <v>15</v>
      </c>
      <c r="B20" t="s">
        <v>30</v>
      </c>
      <c r="C20">
        <v>5</v>
      </c>
      <c r="D20">
        <v>10</v>
      </c>
      <c r="E20">
        <v>9</v>
      </c>
      <c r="F20">
        <v>10</v>
      </c>
      <c r="G20">
        <v>10</v>
      </c>
      <c r="H20">
        <f t="shared" si="0"/>
        <v>8.8000000000000007</v>
      </c>
      <c r="I20">
        <v>7.32</v>
      </c>
    </row>
  </sheetData>
  <mergeCells count="4">
    <mergeCell ref="C1:G1"/>
    <mergeCell ref="H1:I1"/>
    <mergeCell ref="A1:A2"/>
    <mergeCell ref="B1:B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Roeber, Jonas</dc:creator>
  <cp:lastModifiedBy>Roeber, Jonas</cp:lastModifiedBy>
  <dcterms:created xsi:type="dcterms:W3CDTF">2026-03-12T07:30:51Z</dcterms:created>
  <dcterms:modified xsi:type="dcterms:W3CDTF">2026-04-27T14:54:28Z</dcterms:modified>
</cp:coreProperties>
</file>