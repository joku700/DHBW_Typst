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589243\Documents\DH\BA\Typst Projekt\Bachelorarbeit\assets\Excels\"/>
    </mc:Choice>
  </mc:AlternateContent>
  <xr:revisionPtr revIDLastSave="0" documentId="13_ncr:1_{23BE7E1C-06D7-4C4E-B3C6-5F4785A1315C}" xr6:coauthVersionLast="47" xr6:coauthVersionMax="47" xr10:uidLastSave="{00000000-0000-0000-0000-000000000000}"/>
  <bookViews>
    <workbookView xWindow="-108" yWindow="-108" windowWidth="23256" windowHeight="12456" xr2:uid="{C62FB8B3-FE29-4277-9E96-91B5584E9EEE}"/>
  </bookViews>
  <sheets>
    <sheet name="NWA_Bewertunge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I5" i="2"/>
  <c r="E5" i="2"/>
  <c r="C5" i="2"/>
  <c r="K4" i="2"/>
  <c r="I4" i="2"/>
  <c r="G4" i="2"/>
  <c r="E4" i="2"/>
  <c r="C4" i="2"/>
  <c r="K3" i="2"/>
  <c r="I3" i="2"/>
  <c r="G3" i="2"/>
  <c r="E3" i="2"/>
  <c r="C3" i="2"/>
  <c r="K2" i="2"/>
  <c r="I2" i="2"/>
  <c r="E2" i="2"/>
  <c r="C2" i="2"/>
  <c r="K1" i="2"/>
  <c r="I1" i="2"/>
  <c r="G1" i="2"/>
  <c r="E1" i="2"/>
  <c r="C1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3" i="1"/>
  <c r="G4" i="1"/>
  <c r="G5" i="1"/>
  <c r="G6" i="1"/>
  <c r="G7" i="1"/>
  <c r="G8" i="1"/>
  <c r="G9" i="1"/>
  <c r="G10" i="1"/>
  <c r="G11" i="1"/>
  <c r="G12" i="1"/>
  <c r="G13" i="1"/>
  <c r="G14" i="1"/>
  <c r="G15" i="1"/>
  <c r="G2" i="2" s="1"/>
  <c r="G16" i="1"/>
  <c r="G17" i="1"/>
  <c r="G18" i="1"/>
  <c r="G19" i="1"/>
  <c r="G20" i="1"/>
  <c r="G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3" i="1"/>
  <c r="G5" i="2" l="1"/>
</calcChain>
</file>

<file path=xl/sharedStrings.xml><?xml version="1.0" encoding="utf-8"?>
<sst xmlns="http://schemas.openxmlformats.org/spreadsheetml/2006/main" count="56" uniqueCount="32">
  <si>
    <t>Kategorie</t>
  </si>
  <si>
    <t>Kriterium</t>
  </si>
  <si>
    <t>Statisch</t>
  </si>
  <si>
    <t>Deklarativ</t>
  </si>
  <si>
    <t>Offen</t>
  </si>
  <si>
    <t>Chat</t>
  </si>
  <si>
    <t>UX</t>
  </si>
  <si>
    <t>Reaktionszeit</t>
  </si>
  <si>
    <t>Accessibility</t>
  </si>
  <si>
    <t>Responsiveness</t>
  </si>
  <si>
    <t>Generierungsgeschwindigkeit</t>
  </si>
  <si>
    <t>Darstellungskonsistenz</t>
  </si>
  <si>
    <t>Mehrsprachigkeit</t>
  </si>
  <si>
    <t>Statusanzeige</t>
  </si>
  <si>
    <t>Individualisierbarkeit</t>
  </si>
  <si>
    <t>Fehlertoleranz</t>
  </si>
  <si>
    <t>Nachvollziehbarkeit</t>
  </si>
  <si>
    <t>Wirtschaftlichkeit</t>
  </si>
  <si>
    <t>Betriebskosten</t>
  </si>
  <si>
    <t>Implementierungsaufwand</t>
  </si>
  <si>
    <t>Wartbarkeit</t>
  </si>
  <si>
    <t>Erweiterbarkeit</t>
  </si>
  <si>
    <t>Einsatz zukunftssicherer Technologien</t>
  </si>
  <si>
    <t>Funktionale Konsistenz</t>
  </si>
  <si>
    <t>Sicherheit</t>
  </si>
  <si>
    <t>Manipulationssicherheit</t>
  </si>
  <si>
    <t>Gewichtung</t>
  </si>
  <si>
    <t>Bewertung</t>
  </si>
  <si>
    <t>Gewichtet</t>
  </si>
  <si>
    <t>Stabilität</t>
  </si>
  <si>
    <t>Support für Corporate Design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</si>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</sst>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C025-BE3D-4E38-B036-D16EE4AEA966}">
  <dimension ref="A1:K20"/>
  <sheetViews>
    <sheetView tabSelected="1" workbookViewId="0">
      <selection activeCell="C16" sqref="C16"/>
    </sheetView>
  </sheetViews>
  <sheetFormatPr defaultRowHeight="14.4" x14ac:dyDescent="0.3"/>
  <cols>
    <col min="1" max="1" width="15.21875" bestFit="1" customWidth="1"/>
    <col min="2" max="2" width="31.88671875" bestFit="1" customWidth="1"/>
    <col min="3" max="3" width="10.5546875" bestFit="1" customWidth="1"/>
    <col min="4" max="4" width="9" bestFit="1" customWidth="1"/>
    <col min="5" max="5" width="9.21875" bestFit="1" customWidth="1"/>
  </cols>
  <sheetData>
    <row r="1" spans="1:11" x14ac:dyDescent="0.3">
      <c r="A1" s="1" t="s">
        <v>0</v>
      </c>
      <c r="B1" s="1" t="s">
        <v>1</v>
      </c>
      <c r="C1" s="1" t="s">
        <v>26</v>
      </c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</row>
    <row r="2" spans="1:11" x14ac:dyDescent="0.3">
      <c r="A2" s="1"/>
      <c r="B2" s="1"/>
      <c r="C2" s="1"/>
      <c r="D2" t="s">
        <v>27</v>
      </c>
      <c r="E2" t="s">
        <v>28</v>
      </c>
      <c r="F2" t="s">
        <v>27</v>
      </c>
      <c r="G2" t="s">
        <v>28</v>
      </c>
      <c r="H2" t="s">
        <v>27</v>
      </c>
      <c r="I2" t="s">
        <v>28</v>
      </c>
      <c r="J2" t="s">
        <v>27</v>
      </c>
      <c r="K2" t="s">
        <v>28</v>
      </c>
    </row>
    <row r="3" spans="1:11" x14ac:dyDescent="0.3">
      <c r="A3" t="s">
        <v>6</v>
      </c>
      <c r="B3" t="s">
        <v>7</v>
      </c>
      <c r="C3">
        <v>7.32</v>
      </c>
      <c r="D3">
        <v>95</v>
      </c>
      <c r="E3">
        <f>ROUND(D3*C3/100,2)</f>
        <v>6.95</v>
      </c>
      <c r="F3">
        <v>70</v>
      </c>
      <c r="G3">
        <f>ROUND(F3*C3/100,2)</f>
        <v>5.12</v>
      </c>
      <c r="H3">
        <v>40</v>
      </c>
      <c r="I3">
        <f>ROUND(H3*C3/100,2)</f>
        <v>2.93</v>
      </c>
      <c r="J3">
        <v>90</v>
      </c>
      <c r="K3">
        <f>ROUND(J3*C3/100,2)</f>
        <v>6.59</v>
      </c>
    </row>
    <row r="4" spans="1:11" x14ac:dyDescent="0.3">
      <c r="A4" t="s">
        <v>6</v>
      </c>
      <c r="B4" t="s">
        <v>8</v>
      </c>
      <c r="C4">
        <v>3.99</v>
      </c>
      <c r="D4">
        <v>90</v>
      </c>
      <c r="E4">
        <f t="shared" ref="E4:E20" si="0">ROUND(D4*C4/100,2)</f>
        <v>3.59</v>
      </c>
      <c r="F4">
        <v>75</v>
      </c>
      <c r="G4">
        <f t="shared" ref="G4:G20" si="1">ROUND(F4*C4/100,2)</f>
        <v>2.99</v>
      </c>
      <c r="H4">
        <v>30</v>
      </c>
      <c r="I4">
        <f t="shared" ref="I4:I20" si="2">ROUND(H4*C4/100,2)</f>
        <v>1.2</v>
      </c>
      <c r="J4">
        <v>60</v>
      </c>
      <c r="K4">
        <f t="shared" ref="K4:K20" si="3">ROUND(J4*C4/100,2)</f>
        <v>2.39</v>
      </c>
    </row>
    <row r="5" spans="1:11" x14ac:dyDescent="0.3">
      <c r="A5" t="s">
        <v>6</v>
      </c>
      <c r="B5" t="s">
        <v>9</v>
      </c>
      <c r="C5">
        <v>4.83</v>
      </c>
      <c r="D5">
        <v>90</v>
      </c>
      <c r="E5">
        <f t="shared" si="0"/>
        <v>4.3499999999999996</v>
      </c>
      <c r="F5">
        <v>80</v>
      </c>
      <c r="G5">
        <f t="shared" si="1"/>
        <v>3.86</v>
      </c>
      <c r="H5">
        <v>50</v>
      </c>
      <c r="I5">
        <f t="shared" si="2"/>
        <v>2.42</v>
      </c>
      <c r="J5">
        <v>70</v>
      </c>
      <c r="K5">
        <f t="shared" si="3"/>
        <v>3.38</v>
      </c>
    </row>
    <row r="6" spans="1:11" x14ac:dyDescent="0.3">
      <c r="A6" t="s">
        <v>6</v>
      </c>
      <c r="B6" t="s">
        <v>10</v>
      </c>
      <c r="C6">
        <v>7.15</v>
      </c>
      <c r="D6">
        <v>95</v>
      </c>
      <c r="E6">
        <f t="shared" si="0"/>
        <v>6.79</v>
      </c>
      <c r="F6">
        <v>65</v>
      </c>
      <c r="G6">
        <f t="shared" si="1"/>
        <v>4.6500000000000004</v>
      </c>
      <c r="H6">
        <v>35</v>
      </c>
      <c r="I6">
        <f t="shared" si="2"/>
        <v>2.5</v>
      </c>
      <c r="J6">
        <v>85</v>
      </c>
      <c r="K6">
        <f t="shared" si="3"/>
        <v>6.08</v>
      </c>
    </row>
    <row r="7" spans="1:11" x14ac:dyDescent="0.3">
      <c r="A7" t="s">
        <v>6</v>
      </c>
      <c r="B7" t="s">
        <v>11</v>
      </c>
      <c r="C7">
        <v>6.16</v>
      </c>
      <c r="D7">
        <v>95</v>
      </c>
      <c r="E7">
        <f t="shared" si="0"/>
        <v>5.85</v>
      </c>
      <c r="F7">
        <v>80</v>
      </c>
      <c r="G7">
        <f t="shared" si="1"/>
        <v>4.93</v>
      </c>
      <c r="H7">
        <v>35</v>
      </c>
      <c r="I7">
        <f t="shared" si="2"/>
        <v>2.16</v>
      </c>
      <c r="J7">
        <v>75</v>
      </c>
      <c r="K7">
        <f t="shared" si="3"/>
        <v>4.62</v>
      </c>
    </row>
    <row r="8" spans="1:11" x14ac:dyDescent="0.3">
      <c r="A8" t="s">
        <v>6</v>
      </c>
      <c r="B8" t="s">
        <v>12</v>
      </c>
      <c r="C8">
        <v>5.16</v>
      </c>
      <c r="D8">
        <v>70</v>
      </c>
      <c r="E8">
        <f t="shared" si="0"/>
        <v>3.61</v>
      </c>
      <c r="F8">
        <v>85</v>
      </c>
      <c r="G8">
        <f t="shared" si="1"/>
        <v>4.3899999999999997</v>
      </c>
      <c r="H8">
        <v>90</v>
      </c>
      <c r="I8">
        <f t="shared" si="2"/>
        <v>4.6399999999999997</v>
      </c>
      <c r="J8">
        <v>90</v>
      </c>
      <c r="K8">
        <f t="shared" si="3"/>
        <v>4.6399999999999997</v>
      </c>
    </row>
    <row r="9" spans="1:11" x14ac:dyDescent="0.3">
      <c r="A9" t="s">
        <v>6</v>
      </c>
      <c r="B9" t="s">
        <v>13</v>
      </c>
      <c r="C9">
        <v>5.66</v>
      </c>
      <c r="D9">
        <v>90</v>
      </c>
      <c r="E9">
        <f t="shared" si="0"/>
        <v>5.09</v>
      </c>
      <c r="F9">
        <v>80</v>
      </c>
      <c r="G9">
        <f t="shared" si="1"/>
        <v>4.53</v>
      </c>
      <c r="H9">
        <v>50</v>
      </c>
      <c r="I9">
        <f t="shared" si="2"/>
        <v>2.83</v>
      </c>
      <c r="J9">
        <v>70</v>
      </c>
      <c r="K9">
        <f t="shared" si="3"/>
        <v>3.96</v>
      </c>
    </row>
    <row r="10" spans="1:11" x14ac:dyDescent="0.3">
      <c r="A10" t="s">
        <v>6</v>
      </c>
      <c r="B10" t="s">
        <v>30</v>
      </c>
      <c r="C10">
        <v>3</v>
      </c>
      <c r="D10">
        <v>95</v>
      </c>
      <c r="E10">
        <f t="shared" si="0"/>
        <v>2.85</v>
      </c>
      <c r="F10">
        <v>75</v>
      </c>
      <c r="G10">
        <f t="shared" si="1"/>
        <v>2.25</v>
      </c>
      <c r="H10">
        <v>40</v>
      </c>
      <c r="I10">
        <f t="shared" si="2"/>
        <v>1.2</v>
      </c>
      <c r="J10">
        <v>50</v>
      </c>
      <c r="K10">
        <f t="shared" si="3"/>
        <v>1.5</v>
      </c>
    </row>
    <row r="11" spans="1:11" x14ac:dyDescent="0.3">
      <c r="A11" t="s">
        <v>6</v>
      </c>
      <c r="B11" t="s">
        <v>14</v>
      </c>
      <c r="C11">
        <v>2.16</v>
      </c>
      <c r="D11">
        <v>30</v>
      </c>
      <c r="E11">
        <f t="shared" si="0"/>
        <v>0.65</v>
      </c>
      <c r="F11">
        <v>70</v>
      </c>
      <c r="G11">
        <f t="shared" si="1"/>
        <v>1.51</v>
      </c>
      <c r="H11">
        <v>95</v>
      </c>
      <c r="I11">
        <f t="shared" si="2"/>
        <v>2.0499999999999998</v>
      </c>
      <c r="J11">
        <v>60</v>
      </c>
      <c r="K11">
        <f t="shared" si="3"/>
        <v>1.3</v>
      </c>
    </row>
    <row r="12" spans="1:11" x14ac:dyDescent="0.3">
      <c r="A12" t="s">
        <v>6</v>
      </c>
      <c r="B12" t="s">
        <v>15</v>
      </c>
      <c r="C12">
        <v>6.16</v>
      </c>
      <c r="D12">
        <v>90</v>
      </c>
      <c r="E12">
        <f t="shared" si="0"/>
        <v>5.54</v>
      </c>
      <c r="F12">
        <v>75</v>
      </c>
      <c r="G12">
        <f t="shared" si="1"/>
        <v>4.62</v>
      </c>
      <c r="H12">
        <v>40</v>
      </c>
      <c r="I12">
        <f t="shared" si="2"/>
        <v>2.46</v>
      </c>
      <c r="J12">
        <v>70</v>
      </c>
      <c r="K12">
        <f t="shared" si="3"/>
        <v>4.3099999999999996</v>
      </c>
    </row>
    <row r="13" spans="1:11" x14ac:dyDescent="0.3">
      <c r="A13" t="s">
        <v>6</v>
      </c>
      <c r="B13" t="s">
        <v>16</v>
      </c>
      <c r="C13">
        <v>4.83</v>
      </c>
      <c r="D13">
        <v>95</v>
      </c>
      <c r="E13">
        <f t="shared" si="0"/>
        <v>4.59</v>
      </c>
      <c r="F13">
        <v>80</v>
      </c>
      <c r="G13">
        <f t="shared" si="1"/>
        <v>3.86</v>
      </c>
      <c r="H13">
        <v>45</v>
      </c>
      <c r="I13">
        <f t="shared" si="2"/>
        <v>2.17</v>
      </c>
      <c r="J13">
        <v>70</v>
      </c>
      <c r="K13">
        <f t="shared" si="3"/>
        <v>3.38</v>
      </c>
    </row>
    <row r="14" spans="1:11" x14ac:dyDescent="0.3">
      <c r="A14" t="s">
        <v>17</v>
      </c>
      <c r="B14" t="s">
        <v>18</v>
      </c>
      <c r="C14">
        <v>7.15</v>
      </c>
      <c r="D14">
        <v>95</v>
      </c>
      <c r="E14">
        <f t="shared" si="0"/>
        <v>6.79</v>
      </c>
      <c r="F14">
        <v>75</v>
      </c>
      <c r="G14">
        <f t="shared" si="1"/>
        <v>5.36</v>
      </c>
      <c r="H14">
        <v>50</v>
      </c>
      <c r="I14">
        <f t="shared" si="2"/>
        <v>3.58</v>
      </c>
      <c r="J14">
        <v>80</v>
      </c>
      <c r="K14">
        <f t="shared" si="3"/>
        <v>5.72</v>
      </c>
    </row>
    <row r="15" spans="1:11" x14ac:dyDescent="0.3">
      <c r="A15" t="s">
        <v>17</v>
      </c>
      <c r="B15" t="s">
        <v>19</v>
      </c>
      <c r="C15">
        <v>5.82</v>
      </c>
      <c r="D15">
        <v>75</v>
      </c>
      <c r="E15">
        <f t="shared" si="0"/>
        <v>4.37</v>
      </c>
      <c r="F15">
        <v>60</v>
      </c>
      <c r="G15">
        <f t="shared" si="1"/>
        <v>3.49</v>
      </c>
      <c r="H15">
        <v>35</v>
      </c>
      <c r="I15">
        <f t="shared" si="2"/>
        <v>2.04</v>
      </c>
      <c r="J15">
        <v>90</v>
      </c>
      <c r="K15">
        <f t="shared" si="3"/>
        <v>5.24</v>
      </c>
    </row>
    <row r="16" spans="1:11" x14ac:dyDescent="0.3">
      <c r="A16" t="s">
        <v>29</v>
      </c>
      <c r="B16" t="s">
        <v>20</v>
      </c>
      <c r="C16">
        <v>5.99</v>
      </c>
      <c r="D16">
        <v>90</v>
      </c>
      <c r="E16">
        <f t="shared" si="0"/>
        <v>5.39</v>
      </c>
      <c r="F16">
        <v>80</v>
      </c>
      <c r="G16">
        <f t="shared" si="1"/>
        <v>4.79</v>
      </c>
      <c r="H16">
        <v>40</v>
      </c>
      <c r="I16">
        <f t="shared" si="2"/>
        <v>2.4</v>
      </c>
      <c r="J16">
        <v>80</v>
      </c>
      <c r="K16">
        <f t="shared" si="3"/>
        <v>4.79</v>
      </c>
    </row>
    <row r="17" spans="1:11" x14ac:dyDescent="0.3">
      <c r="A17" t="s">
        <v>29</v>
      </c>
      <c r="B17" t="s">
        <v>21</v>
      </c>
      <c r="C17">
        <v>5.66</v>
      </c>
      <c r="D17">
        <v>40</v>
      </c>
      <c r="E17">
        <f t="shared" si="0"/>
        <v>2.2599999999999998</v>
      </c>
      <c r="F17">
        <v>80</v>
      </c>
      <c r="G17">
        <f t="shared" si="1"/>
        <v>4.53</v>
      </c>
      <c r="H17">
        <v>85</v>
      </c>
      <c r="I17">
        <f t="shared" si="2"/>
        <v>4.8099999999999996</v>
      </c>
      <c r="J17">
        <v>70</v>
      </c>
      <c r="K17">
        <f t="shared" si="3"/>
        <v>3.96</v>
      </c>
    </row>
    <row r="18" spans="1:11" x14ac:dyDescent="0.3">
      <c r="A18" t="s">
        <v>29</v>
      </c>
      <c r="B18" t="s">
        <v>22</v>
      </c>
      <c r="C18">
        <v>5.82</v>
      </c>
      <c r="D18">
        <v>85</v>
      </c>
      <c r="E18">
        <f t="shared" si="0"/>
        <v>4.95</v>
      </c>
      <c r="F18">
        <v>80</v>
      </c>
      <c r="G18">
        <f t="shared" si="1"/>
        <v>4.66</v>
      </c>
      <c r="H18">
        <v>60</v>
      </c>
      <c r="I18">
        <f t="shared" si="2"/>
        <v>3.49</v>
      </c>
      <c r="J18">
        <v>75</v>
      </c>
      <c r="K18">
        <f t="shared" si="3"/>
        <v>4.37</v>
      </c>
    </row>
    <row r="19" spans="1:11" x14ac:dyDescent="0.3">
      <c r="A19" t="s">
        <v>29</v>
      </c>
      <c r="B19" t="s">
        <v>23</v>
      </c>
      <c r="C19">
        <v>5.82</v>
      </c>
      <c r="D19">
        <v>95</v>
      </c>
      <c r="E19">
        <f t="shared" si="0"/>
        <v>5.53</v>
      </c>
      <c r="F19">
        <v>80</v>
      </c>
      <c r="G19">
        <f t="shared" si="1"/>
        <v>4.66</v>
      </c>
      <c r="H19">
        <v>35</v>
      </c>
      <c r="I19">
        <f t="shared" si="2"/>
        <v>2.04</v>
      </c>
      <c r="J19">
        <v>70</v>
      </c>
      <c r="K19">
        <f t="shared" si="3"/>
        <v>4.07</v>
      </c>
    </row>
    <row r="20" spans="1:11" x14ac:dyDescent="0.3">
      <c r="A20" t="s">
        <v>24</v>
      </c>
      <c r="B20" t="s">
        <v>25</v>
      </c>
      <c r="C20">
        <v>7.32</v>
      </c>
      <c r="D20">
        <v>95</v>
      </c>
      <c r="E20">
        <f t="shared" si="0"/>
        <v>6.95</v>
      </c>
      <c r="F20">
        <v>85</v>
      </c>
      <c r="G20">
        <f t="shared" si="1"/>
        <v>6.22</v>
      </c>
      <c r="H20">
        <v>25</v>
      </c>
      <c r="I20">
        <f t="shared" si="2"/>
        <v>1.83</v>
      </c>
      <c r="J20">
        <v>90</v>
      </c>
      <c r="K20">
        <f t="shared" si="3"/>
        <v>6.59</v>
      </c>
    </row>
  </sheetData>
  <mergeCells count="7">
    <mergeCell ref="A1:A2"/>
    <mergeCell ref="D1:E1"/>
    <mergeCell ref="F1:G1"/>
    <mergeCell ref="H1:I1"/>
    <mergeCell ref="J1:K1"/>
    <mergeCell ref="C1:C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B72E-8D68-478F-8FC9-B77DD8EC2057}">
  <dimension ref="A1:K5"/>
  <sheetViews>
    <sheetView workbookViewId="0">
      <selection activeCell="G4" sqref="G4"/>
    </sheetView>
  </sheetViews>
  <sheetFormatPr defaultRowHeight="14.4" x14ac:dyDescent="0.3"/>
  <sheetData>
    <row r="1" spans="1:11" x14ac:dyDescent="0.3">
      <c r="A1" t="s">
        <v>6</v>
      </c>
      <c r="C1">
        <f>SUM(NWA_Bewertungen!C3:C13)</f>
        <v>56.419999999999987</v>
      </c>
      <c r="E1">
        <f>SUM(NWA_Bewertungen!E3:E13)</f>
        <v>49.86</v>
      </c>
      <c r="G1">
        <f>SUM(NWA_Bewertungen!G3:G13)</f>
        <v>42.709999999999994</v>
      </c>
      <c r="I1">
        <f>SUM(NWA_Bewertungen!I3:I13)</f>
        <v>26.560000000000002</v>
      </c>
      <c r="K1">
        <f>SUM(NWA_Bewertungen!K3:K13)</f>
        <v>42.15</v>
      </c>
    </row>
    <row r="2" spans="1:11" x14ac:dyDescent="0.3">
      <c r="A2" t="s">
        <v>17</v>
      </c>
      <c r="C2">
        <f>SUM(NWA_Bewertungen!C14:C15)</f>
        <v>12.97</v>
      </c>
      <c r="E2">
        <f>SUM(NWA_Bewertungen!E14:E15)</f>
        <v>11.16</v>
      </c>
      <c r="G2">
        <f>SUM(NWA_Bewertungen!G14:G15)</f>
        <v>8.8500000000000014</v>
      </c>
      <c r="I2">
        <f>SUM(NWA_Bewertungen!I14:I15)</f>
        <v>5.62</v>
      </c>
      <c r="K2">
        <f>SUM(NWA_Bewertungen!K14:K15)</f>
        <v>10.96</v>
      </c>
    </row>
    <row r="3" spans="1:11" x14ac:dyDescent="0.3">
      <c r="A3" t="s">
        <v>29</v>
      </c>
      <c r="C3">
        <f>SUM(NWA_Bewertungen!C16:C19)</f>
        <v>23.29</v>
      </c>
      <c r="E3">
        <f>SUM(NWA_Bewertungen!E16:E19)</f>
        <v>18.13</v>
      </c>
      <c r="G3">
        <f>SUM(NWA_Bewertungen!G16:G19)</f>
        <v>18.64</v>
      </c>
      <c r="I3">
        <f>SUM(NWA_Bewertungen!I16:I19)</f>
        <v>12.739999999999998</v>
      </c>
      <c r="K3">
        <f>SUM(NWA_Bewertungen!K16:K19)</f>
        <v>17.190000000000001</v>
      </c>
    </row>
    <row r="4" spans="1:11" x14ac:dyDescent="0.3">
      <c r="A4" t="s">
        <v>24</v>
      </c>
      <c r="C4">
        <f>SUM(NWA_Bewertungen!C20)</f>
        <v>7.32</v>
      </c>
      <c r="E4">
        <f>SUM(NWA_Bewertungen!E20)</f>
        <v>6.95</v>
      </c>
      <c r="G4">
        <f>SUM(NWA_Bewertungen!G20)</f>
        <v>6.22</v>
      </c>
      <c r="I4">
        <f>SUM(NWA_Bewertungen!I20)</f>
        <v>1.83</v>
      </c>
      <c r="K4">
        <f>SUM(NWA_Bewertungen!K20)</f>
        <v>6.59</v>
      </c>
    </row>
    <row r="5" spans="1:11" x14ac:dyDescent="0.3">
      <c r="A5" t="s">
        <v>31</v>
      </c>
      <c r="C5">
        <f>SUM(NWA_Bewertungen!C3:C20)</f>
        <v>99.999999999999972</v>
      </c>
      <c r="E5">
        <f>SUM(NWA_Bewertungen!E3:E20)</f>
        <v>86.100000000000009</v>
      </c>
      <c r="G5">
        <f>SUM(NWA_Bewertungen!G3:G20)</f>
        <v>76.419999999999987</v>
      </c>
      <c r="I5">
        <f>SUM(NWA_Bewertungen!I3:I20)</f>
        <v>46.75</v>
      </c>
      <c r="K5">
        <f>SUM(NWA_Bewertungen!K3:K20)</f>
        <v>76.890000000000015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NWA_Bewertungen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Roeber, Jonas</cp:lastModifiedBy>
  <dcterms:created xsi:type="dcterms:W3CDTF">2026-04-27T11:59:44Z</dcterms:created>
  <dcterms:modified xsi:type="dcterms:W3CDTF">2026-04-29T07:12:55Z</dcterms:modified>
</cp:coreProperties>
</file>