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589243\Documents\DH\BA\Typst Projekt\Bachelorarbeit\assets\Excels\"/>
    </mc:Choice>
  </mc:AlternateContent>
  <xr:revisionPtr revIDLastSave="0" documentId="8_{98AC64D1-DAB9-41FD-B442-1CE885E2DA4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ormularantworten 1" sheetId="1" r:id="rId1"/>
    <sheet name="Demographische Fragen" sheetId="7" r:id="rId2"/>
    <sheet name="SUS" sheetId="2" r:id="rId3"/>
    <sheet name="HEAT" sheetId="3" r:id="rId4"/>
    <sheet name="Usability Metriken" sheetId="4" r:id="rId5"/>
    <sheet name="Offene Fragen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3" l="1"/>
  <c r="K8" i="3"/>
  <c r="L8" i="3"/>
  <c r="M8" i="3"/>
  <c r="N8" i="3"/>
  <c r="O8" i="3"/>
  <c r="P8" i="3"/>
  <c r="B8" i="3"/>
  <c r="C8" i="3"/>
  <c r="D8" i="3"/>
  <c r="F8" i="3"/>
  <c r="G8" i="3"/>
  <c r="H8" i="3"/>
  <c r="Q7" i="3"/>
  <c r="D8" i="4"/>
  <c r="C8" i="4"/>
  <c r="B8" i="4"/>
  <c r="Q3" i="3"/>
  <c r="Q4" i="3"/>
  <c r="Q5" i="3"/>
  <c r="Q6" i="3"/>
  <c r="Q2" i="3"/>
  <c r="M3" i="3"/>
  <c r="M4" i="3"/>
  <c r="M5" i="3"/>
  <c r="M6" i="3"/>
  <c r="M7" i="3"/>
  <c r="M2" i="3"/>
  <c r="I3" i="3"/>
  <c r="I4" i="3"/>
  <c r="I5" i="3"/>
  <c r="I6" i="3"/>
  <c r="I7" i="3"/>
  <c r="I2" i="3"/>
  <c r="E3" i="3"/>
  <c r="E8" i="3" s="1"/>
  <c r="E4" i="3"/>
  <c r="E5" i="3"/>
  <c r="E6" i="3"/>
  <c r="E7" i="3"/>
  <c r="E2" i="3"/>
  <c r="L3" i="2" a="1"/>
  <c r="L3" i="2" s="1"/>
  <c r="L4" i="2" a="1"/>
  <c r="L4" i="2" s="1"/>
  <c r="L5" i="2" a="1"/>
  <c r="L5" i="2" s="1"/>
  <c r="L6" i="2" a="1"/>
  <c r="L6" i="2" s="1"/>
  <c r="L7" i="2" a="1"/>
  <c r="L7" i="2" s="1"/>
  <c r="L2" i="2" a="1"/>
  <c r="L2" i="2" s="1"/>
  <c r="C8" i="2"/>
  <c r="D8" i="2"/>
  <c r="E8" i="2"/>
  <c r="F8" i="2"/>
  <c r="G8" i="2"/>
  <c r="H8" i="2"/>
  <c r="I8" i="2"/>
  <c r="J8" i="2"/>
  <c r="K8" i="2"/>
  <c r="B8" i="2"/>
  <c r="O15" i="1" a="1"/>
  <c r="O15" i="1" s="1"/>
  <c r="O16" i="1" a="1"/>
  <c r="O16" i="1" s="1"/>
  <c r="O17" i="1" a="1"/>
  <c r="O17" i="1" s="1"/>
  <c r="O18" i="1" a="1"/>
  <c r="O18" i="1"/>
  <c r="O19" i="1" a="1"/>
  <c r="O19" i="1" s="1"/>
  <c r="O14" i="1" a="1"/>
  <c r="O14" i="1" s="1"/>
  <c r="O2" i="1" a="1"/>
  <c r="O2" i="1" s="1"/>
  <c r="S2" i="1"/>
  <c r="W2" i="1"/>
  <c r="AA2" i="1"/>
  <c r="AE2" i="1"/>
  <c r="O3" i="1" a="1"/>
  <c r="O3" i="1" s="1"/>
  <c r="S3" i="1"/>
  <c r="W3" i="1"/>
  <c r="AA3" i="1"/>
  <c r="AE3" i="1"/>
  <c r="O4" i="1" a="1"/>
  <c r="O4" i="1" s="1"/>
  <c r="S4" i="1"/>
  <c r="W4" i="1"/>
  <c r="AA4" i="1"/>
  <c r="AE4" i="1"/>
  <c r="O5" i="1" a="1"/>
  <c r="O5" i="1" s="1"/>
  <c r="S5" i="1"/>
  <c r="W5" i="1"/>
  <c r="AA5" i="1"/>
  <c r="AE5" i="1"/>
  <c r="O6" i="1" a="1"/>
  <c r="O6" i="1" s="1"/>
  <c r="S6" i="1"/>
  <c r="W6" i="1"/>
  <c r="AA6" i="1"/>
  <c r="AE6" i="1"/>
  <c r="O7" i="1" a="1"/>
  <c r="O7" i="1" s="1"/>
  <c r="S7" i="1"/>
  <c r="W7" i="1"/>
  <c r="AA7" i="1"/>
  <c r="AE7" i="1"/>
  <c r="AF8" i="1"/>
  <c r="AG8" i="1"/>
  <c r="AH8" i="1"/>
  <c r="I8" i="3" l="1"/>
  <c r="Q8" i="3"/>
  <c r="L8" i="2"/>
  <c r="AA8" i="1"/>
  <c r="W8" i="1"/>
  <c r="AE8" i="1"/>
  <c r="S8" i="1"/>
  <c r="O8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<sst xmlns="http://schemas.openxmlformats.org/spreadsheetml/2006/main" count="247" uniqueCount="91">
  <si>
    <t>Zeitstempel</t>
  </si>
  <si>
    <t>Wie alt sind Sie?</t>
  </si>
  <si>
    <t>Wie häufig nutzen Sie Software oder Webanwendungen beruflich?</t>
  </si>
  <si>
    <r>
      <rPr>
        <sz val="10"/>
        <color theme="1"/>
        <rFont val="Arial"/>
      </rPr>
      <t>Arbeiten Sie bereits mit KI-gestützten Tools (z.B. ChatGPT, Bildgenerato­ren)</t>
    </r>
    <r>
      <rPr>
        <sz val="10"/>
        <color theme="1"/>
        <rFont val="Arial"/>
      </rPr>
      <t xml:space="preserve"> </t>
    </r>
  </si>
  <si>
    <t>Ich denke, dass ich das System gerne häufig benutzen würde.</t>
  </si>
  <si>
    <t>Ich fand das System unnötig komplex.</t>
  </si>
  <si>
    <t>Ich fand das System einfach zu benutzen.</t>
  </si>
  <si>
    <t>Ich glaube, ich würde die Hilfe einer technisch versierten Person benötigen, um das System benutzen zu können.</t>
  </si>
  <si>
    <t>Ich fand, die verschiedenen Funktionen des Systems waren gut integriert.</t>
  </si>
  <si>
    <t xml:space="preserve">Ich denke, das System enthielt zu viele Inkonsistenzen. </t>
  </si>
  <si>
    <t>Ich kann mir vorstellen, dass die meisten Menschen den Umgang mit diesem System sehr schnell lernen.</t>
  </si>
  <si>
    <t>Ich fand das System sehr umständlich zu nutzen.</t>
  </si>
  <si>
    <t>Ich fühlte mich bei der Nutzung des Systems sehr sicher.</t>
  </si>
  <si>
    <t>Ich musste eine Menge lernen, bevor ich mit dem System arbeiten konnte.</t>
  </si>
  <si>
    <t>Die angezeigten Formulare fühlten sich natürlich und passend an</t>
  </si>
  <si>
    <t>Die Interaktion war verständlich und nachvollziehbar.</t>
  </si>
  <si>
    <t>Die Formulare waren hilfreich für die Validierungsaufgaben.</t>
  </si>
  <si>
    <t>Die Formulare unterstützten mich angemessen bei der Validierung.</t>
  </si>
  <si>
    <t>Ich konnte meine fachliche Einschätzung vollständig ausdrücken.</t>
  </si>
  <si>
    <t>Das System berücksichtigte die notwendigen Validierungsdimensionen.</t>
  </si>
  <si>
    <t>Die Formulare erfassten mein Feedback präzise.</t>
  </si>
  <si>
    <t>Mein Feedback wurde vollständig erfasst.</t>
  </si>
  <si>
    <t>Es bestand kein Risiko für Missverständnisse.</t>
  </si>
  <si>
    <t>Der Prozess war transparent und nachvollziehbar.</t>
  </si>
  <si>
    <t>Ich vertraue darauf, dass mein Feedback korrekt verarbeitet wird.</t>
  </si>
  <si>
    <t>Das System verhielt sich konsistent und verlässlich.</t>
  </si>
  <si>
    <t>Ich wusste jederzeit, was das System gerade tat.</t>
  </si>
  <si>
    <t>Ich hatte die Kontrolle über den Ablauf der Validierung.</t>
  </si>
  <si>
    <t>Das System reagierte schnell auf meine Eingaben.</t>
  </si>
  <si>
    <t>Was hat Ihnen am Tool besonders gut gefallen?</t>
  </si>
  <si>
    <t>Was fanden Sie besonders schwierig oder verwirrend?</t>
  </si>
  <si>
    <t>Haben Sie weitere Anmerkungen oder Verbesserungsvorschläge?</t>
  </si>
  <si>
    <t>20-30</t>
  </si>
  <si>
    <t>Täglich</t>
  </si>
  <si>
    <t>Ja, regelmäßig</t>
  </si>
  <si>
    <t>Der Ablaufplan</t>
  </si>
  <si>
    <t>Auf kleineren Bildschirmen werden einige interaktive Elemente nicht angezeigt. Außerdem ist nicht ersichtlich, dass der Button oben rechts den AI-Assistent aufruft</t>
  </si>
  <si>
    <t>auf kleinere Bildschirme achten!!!</t>
  </si>
  <si>
    <t>Die Bildgenerierung war sehr flexibel und ist gut auf meine anforderungen eingegangen</t>
  </si>
  <si>
    <t>beim Übersetzen wurde der vorgang duirch den knopf "bestätigen" abgebrochen weil noch nicht alle texte reviewed wurden, hier wäre eine meldung gut</t>
  </si>
  <si>
    <t>Texte beim übersetzen in einer übersicht alle anzeigen nicht nur zum durchswitchen für mehr übersicht</t>
  </si>
  <si>
    <t>Hat sich gut angefühlt bei der benutzung 10/10</t>
  </si>
  <si>
    <t>Das man runter scrollen muss um manche buttons zu sehen</t>
  </si>
  <si>
    <t>Nein</t>
  </si>
  <si>
    <t>die Geschwindigkeit der Bildgenerierung</t>
  </si>
  <si>
    <t>Verhalten der Buttons interpretieren
zu viele Buttons
einige Buttons nicht auf Anhieb sichtbar</t>
  </si>
  <si>
    <t>Der rote Faden</t>
  </si>
  <si>
    <t>Herunterscrollen ohne indikator</t>
  </si>
  <si>
    <t>Ja, gelegentlich</t>
  </si>
  <si>
    <t>SUS-Score</t>
  </si>
  <si>
    <t>Human Experience</t>
  </si>
  <si>
    <t>Expertise</t>
  </si>
  <si>
    <t>Accuracy</t>
  </si>
  <si>
    <t>Trust</t>
  </si>
  <si>
    <t xml:space="preserve">Arbeiten Sie bereits mit KI-gestützten Tools (z.B. ChatGPT, Bildgenerato­ren) </t>
  </si>
  <si>
    <t>Teilnehmer</t>
  </si>
  <si>
    <t>T1</t>
  </si>
  <si>
    <t>T2</t>
  </si>
  <si>
    <t>T3</t>
  </si>
  <si>
    <t>T4</t>
  </si>
  <si>
    <t>T5</t>
  </si>
  <si>
    <t>T6</t>
  </si>
  <si>
    <t>Mittelwert</t>
  </si>
  <si>
    <t>H1</t>
  </si>
  <si>
    <t>H2</t>
  </si>
  <si>
    <t>H3</t>
  </si>
  <si>
    <t>E1</t>
  </si>
  <si>
    <t>E2</t>
  </si>
  <si>
    <t>E3</t>
  </si>
  <si>
    <t>A1</t>
  </si>
  <si>
    <t>A2</t>
  </si>
  <si>
    <t>A3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</si>
  <si>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</si>
  <si>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</si>
  <si>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</si>
  <si>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</si>
  <si>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</si>
  <si>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</si>
  <si>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</si>
  <si>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</si>
  <si>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</si>
  <si>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</si>
  <si>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U1</t>
  </si>
  <si>
    <t>U2</t>
  </si>
  <si>
    <t>U3</t>
  </si>
  <si>
    <t>O1</t>
  </si>
  <si>
    <t>O2</t>
  </si>
  <si>
    <t>O3</t>
  </si>
  <si>
    <t>D1</t>
  </si>
  <si>
    <t>D2</t>
  </si>
  <si>
    <t>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</si>
</sst>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8"/>
      <name val="Arial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general" vertical="center" textRotation="0" wrapText="0" indent="0" justifyLastLine="0" shrinkToFit="0" readingOrder="0"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ularantworten 1-style" pivot="0" count="4" xr9:uid="{00000000-0011-0000-FFFF-FFFF00000000}">
      <tableStyleElement type="wholeTable" size="0" dxfId="7"/>
      <tableStyleElement type="headerRow" dxfId="10"/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K9" totalsRowCount="1">
  <tableColumns count="37">
    <tableColumn id="1" xr3:uid="{00000000-0010-0000-0000-000001000000}" name="Zeitstempel"/>
    <tableColumn id="2" xr3:uid="{00000000-0010-0000-0000-000002000000}" name="Wie alt sind Sie?"/>
    <tableColumn id="3" xr3:uid="{00000000-0010-0000-0000-000003000000}" name="Wie häufig nutzen Sie Software oder Webanwendungen beruflich?"/>
    <tableColumn id="4" xr3:uid="{00000000-0010-0000-0000-000004000000}" name="Arbeiten Sie bereits mit KI-gestützten Tools (z.B. ChatGPT, Bildgenerato­ren) "/>
    <tableColumn id="5" xr3:uid="{00000000-0010-0000-0000-000005000000}" name="Ich denke, dass ich das System gerne häufig benutzen würde."/>
    <tableColumn id="6" xr3:uid="{00000000-0010-0000-0000-000006000000}" name="Ich fand das System unnötig komplex."/>
    <tableColumn id="7" xr3:uid="{00000000-0010-0000-0000-000007000000}" name="Ich fand das System einfach zu benutzen."/>
    <tableColumn id="8" xr3:uid="{00000000-0010-0000-0000-000008000000}" name="Ich glaube, ich würde die Hilfe einer technisch versierten Person benötigen, um das System benutzen zu können."/>
    <tableColumn id="9" xr3:uid="{00000000-0010-0000-0000-000009000000}" name="Ich fand, die verschiedenen Funktionen des Systems waren gut integriert."/>
    <tableColumn id="10" xr3:uid="{00000000-0010-0000-0000-00000A000000}" name="Ich denke, das System enthielt zu viele Inkonsistenzen. "/>
    <tableColumn id="11" xr3:uid="{00000000-0010-0000-0000-00000B000000}" name="Ich kann mir vorstellen, dass die meisten Menschen den Umgang mit diesem System sehr schnell lernen."/>
    <tableColumn id="12" xr3:uid="{00000000-0010-0000-0000-00000C000000}" name="Ich fand das System sehr umständlich zu nutzen."/>
    <tableColumn id="13" xr3:uid="{00000000-0010-0000-0000-00000D000000}" name="Ich fühlte mich bei der Nutzung des Systems sehr sicher."/>
    <tableColumn id="14" xr3:uid="{00000000-0010-0000-0000-00000E000000}" name="Ich musste eine Menge lernen, bevor ich mit dem System arbeiten konnte."/>
    <tableColumn id="33" xr3:uid="{25D648F3-B07E-4F20-A18A-E22DDCB09C8E}" name="SUS-Score" dataDxfId="6" totalsRowDxfId="0">
      <calculatedColumnFormula array="1">SUM(IF(MOD(COLUMN(E2:N2)-4,2)=0,5-E2:N2,E2:N2-1))*2.5</calculatedColumnFormula>
    </tableColumn>
    <tableColumn id="15" xr3:uid="{00000000-0010-0000-0000-00000F000000}" name="Die angezeigten Formulare fühlten sich natürlich und passend an" dataDxfId="5"/>
    <tableColumn id="16" xr3:uid="{00000000-0010-0000-0000-000010000000}" name="Die Interaktion war verständlich und nachvollziehbar."/>
    <tableColumn id="17" xr3:uid="{00000000-0010-0000-0000-000011000000}" name="Die Formulare waren hilfreich für die Validierungsaufgaben."/>
    <tableColumn id="35" xr3:uid="{62B085EA-1D9D-4762-8DDB-97391C84DEA0}" name="Human Experience" dataDxfId="4">
      <calculatedColumnFormula>AVERAGE(Form_Responses[[#This Row],[Die angezeigten Formulare fühlten sich natürlich und passend an]:[Die Formulare waren hilfreich für die Validierungsaufgaben.]])</calculatedColumnFormula>
    </tableColumn>
    <tableColumn id="18" xr3:uid="{00000000-0010-0000-0000-000012000000}" name="Die Formulare unterstützten mich angemessen bei der Validierung."/>
    <tableColumn id="19" xr3:uid="{00000000-0010-0000-0000-000013000000}" name="Ich konnte meine fachliche Einschätzung vollständig ausdrücken."/>
    <tableColumn id="20" xr3:uid="{00000000-0010-0000-0000-000014000000}" name="Das System berücksichtigte die notwendigen Validierungsdimensionen."/>
    <tableColumn id="36" xr3:uid="{5D62F579-AF83-44A7-A88D-5F10E6CD1123}" name="Expertise" dataDxfId="3">
      <calculatedColumnFormula>ROUND(AVERAGE(Form_Responses[[#This Row],[Die Formulare unterstützten mich angemessen bei der Validierung.]:[Das System berücksichtigte die notwendigen Validierungsdimensionen.]]),2)</calculatedColumnFormula>
    </tableColumn>
    <tableColumn id="21" xr3:uid="{00000000-0010-0000-0000-000015000000}" name="Die Formulare erfassten mein Feedback präzise."/>
    <tableColumn id="22" xr3:uid="{00000000-0010-0000-0000-000016000000}" name="Mein Feedback wurde vollständig erfasst."/>
    <tableColumn id="23" xr3:uid="{00000000-0010-0000-0000-000017000000}" name="Es bestand kein Risiko für Missverständnisse."/>
    <tableColumn id="37" xr3:uid="{B7CED115-9AAF-4D4B-A4C0-4F2970C3BEC1}" name="Accuracy" dataDxfId="2">
      <calculatedColumnFormula>ROUND(AVERAGE(Form_Responses[[#This Row],[Die Formulare erfassten mein Feedback präzise.]:[Es bestand kein Risiko für Missverständnisse.]]),2)</calculatedColumnFormula>
    </tableColumn>
    <tableColumn id="24" xr3:uid="{00000000-0010-0000-0000-000018000000}" name="Der Prozess war transparent und nachvollziehbar."/>
    <tableColumn id="25" xr3:uid="{00000000-0010-0000-0000-000019000000}" name="Ich vertraue darauf, dass mein Feedback korrekt verarbeitet wird."/>
    <tableColumn id="26" xr3:uid="{00000000-0010-0000-0000-00001A000000}" name="Das System verhielt sich konsistent und verlässlich."/>
    <tableColumn id="38" xr3:uid="{A83A8CFE-9B0B-41DC-B91C-4C183C06EFE8}" name="Trust" dataDxfId="1">
      <calculatedColumnFormula>ROUND(AVERAGE(Form_Responses[[#This Row],[Der Prozess war transparent und nachvollziehbar.]:[Das System verhielt sich konsistent und verlässlich.]]),2)</calculatedColumnFormula>
    </tableColumn>
    <tableColumn id="27" xr3:uid="{00000000-0010-0000-0000-00001B000000}" name="Ich wusste jederzeit, was das System gerade tat."/>
    <tableColumn id="28" xr3:uid="{00000000-0010-0000-0000-00001C000000}" name="Ich hatte die Kontrolle über den Ablauf der Validierung."/>
    <tableColumn id="29" xr3:uid="{00000000-0010-0000-0000-00001D000000}" name="Das System reagierte schnell auf meine Eingaben."/>
    <tableColumn id="30" xr3:uid="{00000000-0010-0000-0000-00001E000000}" name="Was hat Ihnen am Tool besonders gut gefallen?"/>
    <tableColumn id="31" xr3:uid="{00000000-0010-0000-0000-00001F000000}" name="Was fanden Sie besonders schwierig oder verwirrend?"/>
    <tableColumn id="32" xr3:uid="{00000000-0010-0000-0000-000020000000}" name="Haben Sie weitere Anmerkungen oder Verbesserungsvorschläge?"/>
  </tableColumns>
  <tableStyleInfo name="Formularantworten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K20"/>
  <sheetViews>
    <sheetView workbookViewId="0">
      <pane ySplit="1" topLeftCell="A3" activePane="bottomLeft" state="frozen"/>
      <selection pane="bottomLeft" activeCell="D13" sqref="A13:D19"/>
    </sheetView>
  </sheetViews>
  <sheetFormatPr defaultColWidth="12.6640625" defaultRowHeight="15.75" customHeight="1" x14ac:dyDescent="0.25"/>
  <cols>
    <col min="1" max="2" width="18.88671875" customWidth="1"/>
    <col min="3" max="5" width="37.6640625" customWidth="1"/>
    <col min="6" max="6" width="33" customWidth="1"/>
    <col min="7" max="7" width="35.44140625" customWidth="1"/>
    <col min="8" max="14" width="37.6640625" customWidth="1"/>
    <col min="15" max="15" width="10.21875" bestFit="1" customWidth="1"/>
    <col min="16" max="16" width="37.6640625" customWidth="1"/>
    <col min="17" max="17" width="44.33203125" bestFit="1" customWidth="1"/>
    <col min="18" max="18" width="37.6640625" customWidth="1"/>
    <col min="19" max="19" width="16.44140625" bestFit="1" customWidth="1"/>
    <col min="20" max="21" width="37.6640625" customWidth="1"/>
    <col min="22" max="23" width="35.33203125" customWidth="1"/>
    <col min="24" max="34" width="37.6640625" customWidth="1"/>
    <col min="35" max="35" width="73.21875" bestFit="1" customWidth="1"/>
    <col min="36" max="36" width="135.88671875" bestFit="1" customWidth="1"/>
    <col min="37" max="37" width="86.109375" bestFit="1" customWidth="1"/>
    <col min="38" max="40" width="18.88671875" customWidth="1"/>
  </cols>
  <sheetData>
    <row r="1" spans="1:37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5" t="s">
        <v>49</v>
      </c>
      <c r="P1" s="1" t="s">
        <v>14</v>
      </c>
      <c r="Q1" s="1" t="s">
        <v>15</v>
      </c>
      <c r="R1" s="1" t="s">
        <v>16</v>
      </c>
      <c r="S1" s="1" t="s">
        <v>50</v>
      </c>
      <c r="T1" s="1" t="s">
        <v>17</v>
      </c>
      <c r="U1" s="1" t="s">
        <v>18</v>
      </c>
      <c r="V1" s="1" t="s">
        <v>19</v>
      </c>
      <c r="W1" s="1" t="s">
        <v>51</v>
      </c>
      <c r="X1" s="1" t="s">
        <v>20</v>
      </c>
      <c r="Y1" s="1" t="s">
        <v>21</v>
      </c>
      <c r="Z1" s="1" t="s">
        <v>22</v>
      </c>
      <c r="AA1" s="1" t="s">
        <v>52</v>
      </c>
      <c r="AB1" s="1" t="s">
        <v>23</v>
      </c>
      <c r="AC1" s="1" t="s">
        <v>24</v>
      </c>
      <c r="AD1" s="1" t="s">
        <v>25</v>
      </c>
      <c r="AE1" s="1" t="s">
        <v>53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</row>
    <row r="2" spans="1:37" ht="22.5" customHeight="1" x14ac:dyDescent="0.25">
      <c r="A2" s="2">
        <v>46127.558691099533</v>
      </c>
      <c r="B2" s="3" t="s">
        <v>32</v>
      </c>
      <c r="C2" s="3" t="s">
        <v>33</v>
      </c>
      <c r="D2" s="3" t="s">
        <v>34</v>
      </c>
      <c r="E2" s="3">
        <v>4</v>
      </c>
      <c r="F2" s="3">
        <v>1</v>
      </c>
      <c r="G2" s="3">
        <v>3</v>
      </c>
      <c r="H2" s="3">
        <v>1</v>
      </c>
      <c r="I2" s="3">
        <v>4</v>
      </c>
      <c r="J2" s="3">
        <v>1</v>
      </c>
      <c r="K2" s="3">
        <v>5</v>
      </c>
      <c r="L2" s="3">
        <v>2</v>
      </c>
      <c r="M2" s="3">
        <v>3</v>
      </c>
      <c r="N2" s="3">
        <v>1</v>
      </c>
      <c r="O2" s="3" cm="1">
        <f t="array" ref="O2">SUM(IF(MOD(COLUMN(E2:N2)-4,2)=0,5-E2:N2,E2:N2-1))*2.5</f>
        <v>82.5</v>
      </c>
      <c r="P2" s="3">
        <v>5</v>
      </c>
      <c r="Q2" s="3">
        <v>3</v>
      </c>
      <c r="R2" s="3">
        <v>5</v>
      </c>
      <c r="S2" s="3">
        <f>ROUND(AVERAGE(Form_Responses[[#This Row],[Die angezeigten Formulare fühlten sich natürlich und passend an]:[Die Formulare waren hilfreich für die Validierungsaufgaben.]]),2)</f>
        <v>4.33</v>
      </c>
      <c r="T2" s="3">
        <v>4</v>
      </c>
      <c r="U2" s="3">
        <v>5</v>
      </c>
      <c r="V2" s="3">
        <v>5</v>
      </c>
      <c r="W2" s="3">
        <f>ROUND(AVERAGE(Form_Responses[[#This Row],[Die Formulare unterstützten mich angemessen bei der Validierung.]:[Das System berücksichtigte die notwendigen Validierungsdimensionen.]]),2)</f>
        <v>4.67</v>
      </c>
      <c r="X2" s="3">
        <v>5</v>
      </c>
      <c r="Y2" s="3">
        <v>5</v>
      </c>
      <c r="Z2" s="3">
        <v>1</v>
      </c>
      <c r="AA2" s="3">
        <f>ROUND(AVERAGE(Form_Responses[[#This Row],[Die Formulare erfassten mein Feedback präzise.]:[Es bestand kein Risiko für Missverständnisse.]]),2)</f>
        <v>3.67</v>
      </c>
      <c r="AB2" s="3">
        <v>4</v>
      </c>
      <c r="AC2" s="3">
        <v>5</v>
      </c>
      <c r="AD2" s="3">
        <v>4</v>
      </c>
      <c r="AE2" s="3">
        <f>ROUND(AVERAGE(Form_Responses[[#This Row],[Der Prozess war transparent und nachvollziehbar.]:[Das System verhielt sich konsistent und verlässlich.]]),2)</f>
        <v>4.33</v>
      </c>
      <c r="AF2" s="3">
        <v>5</v>
      </c>
      <c r="AG2" s="3">
        <v>5</v>
      </c>
      <c r="AH2" s="3">
        <v>4</v>
      </c>
      <c r="AI2" s="3" t="s">
        <v>35</v>
      </c>
      <c r="AJ2" s="3" t="s">
        <v>36</v>
      </c>
      <c r="AK2" s="3" t="s">
        <v>37</v>
      </c>
    </row>
    <row r="3" spans="1:37" ht="22.5" customHeight="1" x14ac:dyDescent="0.25">
      <c r="A3" s="2">
        <v>46127.608362349536</v>
      </c>
      <c r="B3" s="3" t="s">
        <v>32</v>
      </c>
      <c r="C3" s="3" t="s">
        <v>33</v>
      </c>
      <c r="D3" s="3" t="s">
        <v>34</v>
      </c>
      <c r="E3" s="3">
        <v>5</v>
      </c>
      <c r="F3" s="3">
        <v>2</v>
      </c>
      <c r="G3" s="3">
        <v>4</v>
      </c>
      <c r="H3" s="3">
        <v>2</v>
      </c>
      <c r="I3" s="3">
        <v>5</v>
      </c>
      <c r="J3" s="3">
        <v>1</v>
      </c>
      <c r="K3" s="3">
        <v>5</v>
      </c>
      <c r="L3" s="3">
        <v>2</v>
      </c>
      <c r="M3" s="3">
        <v>5</v>
      </c>
      <c r="N3" s="3">
        <v>1</v>
      </c>
      <c r="O3" s="3" cm="1">
        <f t="array" ref="O3">SUM(IF(MOD(COLUMN(E3:N3)-4,2)=0,5-E3:N3,E3:N3-1))*2.5</f>
        <v>90</v>
      </c>
      <c r="P3" s="3">
        <v>4</v>
      </c>
      <c r="Q3" s="3">
        <v>4</v>
      </c>
      <c r="R3" s="3">
        <v>4</v>
      </c>
      <c r="S3" s="3">
        <f>ROUND(AVERAGE(Form_Responses[[#This Row],[Die angezeigten Formulare fühlten sich natürlich und passend an]:[Die Formulare waren hilfreich für die Validierungsaufgaben.]]),2)</f>
        <v>4</v>
      </c>
      <c r="T3" s="3">
        <v>5</v>
      </c>
      <c r="U3" s="3">
        <v>5</v>
      </c>
      <c r="V3" s="3">
        <v>5</v>
      </c>
      <c r="W3" s="3">
        <f>ROUND(AVERAGE(Form_Responses[[#This Row],[Die Formulare unterstützten mich angemessen bei der Validierung.]:[Das System berücksichtigte die notwendigen Validierungsdimensionen.]]),2)</f>
        <v>5</v>
      </c>
      <c r="X3" s="3">
        <v>5</v>
      </c>
      <c r="Y3" s="3">
        <v>5</v>
      </c>
      <c r="Z3" s="3">
        <v>3</v>
      </c>
      <c r="AA3" s="3">
        <f>ROUND(AVERAGE(Form_Responses[[#This Row],[Die Formulare erfassten mein Feedback präzise.]:[Es bestand kein Risiko für Missverständnisse.]]),2)</f>
        <v>4.33</v>
      </c>
      <c r="AB3" s="3">
        <v>4</v>
      </c>
      <c r="AC3" s="3">
        <v>5</v>
      </c>
      <c r="AD3" s="3">
        <v>4</v>
      </c>
      <c r="AE3" s="3">
        <f>ROUND(AVERAGE(Form_Responses[[#This Row],[Der Prozess war transparent und nachvollziehbar.]:[Das System verhielt sich konsistent und verlässlich.]]),2)</f>
        <v>4.33</v>
      </c>
      <c r="AF3" s="3">
        <v>3</v>
      </c>
      <c r="AG3" s="3">
        <v>5</v>
      </c>
      <c r="AH3" s="3">
        <v>4</v>
      </c>
      <c r="AI3" s="3" t="s">
        <v>38</v>
      </c>
      <c r="AJ3" s="3" t="s">
        <v>39</v>
      </c>
      <c r="AK3" s="3" t="s">
        <v>40</v>
      </c>
    </row>
    <row r="4" spans="1:37" ht="22.5" customHeight="1" x14ac:dyDescent="0.25">
      <c r="A4" s="2">
        <v>46127.629716678246</v>
      </c>
      <c r="B4" s="3" t="s">
        <v>32</v>
      </c>
      <c r="C4" s="3" t="s">
        <v>33</v>
      </c>
      <c r="D4" s="3" t="s">
        <v>34</v>
      </c>
      <c r="E4" s="3">
        <v>5</v>
      </c>
      <c r="F4" s="3">
        <v>1</v>
      </c>
      <c r="G4" s="3">
        <v>4</v>
      </c>
      <c r="H4" s="3">
        <v>1</v>
      </c>
      <c r="I4" s="3">
        <v>5</v>
      </c>
      <c r="J4" s="3">
        <v>1</v>
      </c>
      <c r="K4" s="3">
        <v>5</v>
      </c>
      <c r="L4" s="3">
        <v>1</v>
      </c>
      <c r="M4" s="3">
        <v>5</v>
      </c>
      <c r="N4" s="3">
        <v>1</v>
      </c>
      <c r="O4" s="3" cm="1">
        <f t="array" ref="O4">SUM(IF(MOD(COLUMN(E4:N4)-4,2)=0,5-E4:N4,E4:N4-1))*2.5</f>
        <v>97.5</v>
      </c>
      <c r="P4" s="3">
        <v>5</v>
      </c>
      <c r="Q4" s="3">
        <v>5</v>
      </c>
      <c r="R4" s="3">
        <v>5</v>
      </c>
      <c r="S4" s="3">
        <f>ROUND(AVERAGE(Form_Responses[[#This Row],[Die angezeigten Formulare fühlten sich natürlich und passend an]:[Die Formulare waren hilfreich für die Validierungsaufgaben.]]),2)</f>
        <v>5</v>
      </c>
      <c r="T4" s="3">
        <v>5</v>
      </c>
      <c r="U4" s="3">
        <v>5</v>
      </c>
      <c r="V4" s="3">
        <v>5</v>
      </c>
      <c r="W4" s="3">
        <f>ROUND(AVERAGE(Form_Responses[[#This Row],[Die Formulare unterstützten mich angemessen bei der Validierung.]:[Das System berücksichtigte die notwendigen Validierungsdimensionen.]]),2)</f>
        <v>5</v>
      </c>
      <c r="X4" s="3">
        <v>5</v>
      </c>
      <c r="Y4" s="3">
        <v>5</v>
      </c>
      <c r="Z4" s="3">
        <v>5</v>
      </c>
      <c r="AA4" s="3">
        <f>ROUND(AVERAGE(Form_Responses[[#This Row],[Die Formulare erfassten mein Feedback präzise.]:[Es bestand kein Risiko für Missverständnisse.]]),2)</f>
        <v>5</v>
      </c>
      <c r="AB4" s="3">
        <v>5</v>
      </c>
      <c r="AC4" s="3">
        <v>5</v>
      </c>
      <c r="AD4" s="3">
        <v>4</v>
      </c>
      <c r="AE4" s="3">
        <f>ROUND(AVERAGE(Form_Responses[[#This Row],[Der Prozess war transparent und nachvollziehbar.]:[Das System verhielt sich konsistent und verlässlich.]]),2)</f>
        <v>4.67</v>
      </c>
      <c r="AF4" s="3">
        <v>5</v>
      </c>
      <c r="AG4" s="3">
        <v>5</v>
      </c>
      <c r="AH4" s="3">
        <v>5</v>
      </c>
      <c r="AI4" s="3" t="s">
        <v>41</v>
      </c>
      <c r="AJ4" s="3" t="s">
        <v>42</v>
      </c>
      <c r="AK4" s="3" t="s">
        <v>43</v>
      </c>
    </row>
    <row r="5" spans="1:37" ht="22.5" customHeight="1" x14ac:dyDescent="0.25">
      <c r="A5" s="2">
        <v>46128.451411423608</v>
      </c>
      <c r="B5" s="3" t="s">
        <v>32</v>
      </c>
      <c r="C5" s="3" t="s">
        <v>33</v>
      </c>
      <c r="D5" s="3" t="s">
        <v>34</v>
      </c>
      <c r="E5" s="3">
        <v>5</v>
      </c>
      <c r="F5" s="3">
        <v>3</v>
      </c>
      <c r="G5" s="3">
        <v>3</v>
      </c>
      <c r="H5" s="3">
        <v>4</v>
      </c>
      <c r="I5" s="3">
        <v>4</v>
      </c>
      <c r="J5" s="3">
        <v>2</v>
      </c>
      <c r="K5" s="3">
        <v>5</v>
      </c>
      <c r="L5" s="3">
        <v>2</v>
      </c>
      <c r="M5" s="3">
        <v>3</v>
      </c>
      <c r="N5" s="3">
        <v>1</v>
      </c>
      <c r="O5" s="3" cm="1">
        <f t="array" ref="O5">SUM(IF(MOD(COLUMN(E5:N5)-4,2)=0,5-E5:N5,E5:N5-1))*2.5</f>
        <v>70</v>
      </c>
      <c r="P5" s="3">
        <v>4</v>
      </c>
      <c r="Q5" s="3">
        <v>4</v>
      </c>
      <c r="R5" s="3">
        <v>4</v>
      </c>
      <c r="S5" s="3">
        <f>ROUND(AVERAGE(Form_Responses[[#This Row],[Die angezeigten Formulare fühlten sich natürlich und passend an]:[Die Formulare waren hilfreich für die Validierungsaufgaben.]]),2)</f>
        <v>4</v>
      </c>
      <c r="T5" s="3">
        <v>4</v>
      </c>
      <c r="U5" s="3">
        <v>5</v>
      </c>
      <c r="V5" s="3">
        <v>4</v>
      </c>
      <c r="W5" s="3">
        <f>ROUND(AVERAGE(Form_Responses[[#This Row],[Die Formulare unterstützten mich angemessen bei der Validierung.]:[Das System berücksichtigte die notwendigen Validierungsdimensionen.]]),2)</f>
        <v>4.33</v>
      </c>
      <c r="X5" s="3">
        <v>4</v>
      </c>
      <c r="Y5" s="3">
        <v>4</v>
      </c>
      <c r="Z5" s="3">
        <v>3</v>
      </c>
      <c r="AA5" s="3">
        <f>ROUND(AVERAGE(Form_Responses[[#This Row],[Die Formulare erfassten mein Feedback präzise.]:[Es bestand kein Risiko für Missverständnisse.]]),2)</f>
        <v>3.67</v>
      </c>
      <c r="AB5" s="3">
        <v>3</v>
      </c>
      <c r="AC5" s="3">
        <v>4</v>
      </c>
      <c r="AD5" s="3">
        <v>4</v>
      </c>
      <c r="AE5" s="3">
        <f>ROUND(AVERAGE(Form_Responses[[#This Row],[Der Prozess war transparent und nachvollziehbar.]:[Das System verhielt sich konsistent und verlässlich.]]),2)</f>
        <v>3.67</v>
      </c>
      <c r="AF5" s="3">
        <v>5</v>
      </c>
      <c r="AG5" s="3">
        <v>4</v>
      </c>
      <c r="AH5" s="3">
        <v>5</v>
      </c>
      <c r="AI5" s="3" t="s">
        <v>44</v>
      </c>
      <c r="AJ5" s="3" t="s">
        <v>45</v>
      </c>
    </row>
    <row r="6" spans="1:37" ht="22.5" customHeight="1" x14ac:dyDescent="0.25">
      <c r="A6" s="2">
        <v>46128.537736168983</v>
      </c>
      <c r="B6" s="3" t="s">
        <v>32</v>
      </c>
      <c r="C6" s="3" t="s">
        <v>33</v>
      </c>
      <c r="D6" s="3" t="s">
        <v>34</v>
      </c>
      <c r="E6" s="3">
        <v>3</v>
      </c>
      <c r="F6" s="3">
        <v>2</v>
      </c>
      <c r="G6" s="3">
        <v>4</v>
      </c>
      <c r="H6" s="3">
        <v>1</v>
      </c>
      <c r="I6" s="3">
        <v>4</v>
      </c>
      <c r="J6" s="3">
        <v>1</v>
      </c>
      <c r="K6" s="3">
        <v>5</v>
      </c>
      <c r="L6" s="3">
        <v>1</v>
      </c>
      <c r="M6" s="3">
        <v>5</v>
      </c>
      <c r="N6" s="3">
        <v>1</v>
      </c>
      <c r="O6" s="3" cm="1">
        <f t="array" ref="O6">SUM(IF(MOD(COLUMN(E6:N6)-4,2)=0,5-E6:N6,E6:N6-1))*2.5</f>
        <v>87.5</v>
      </c>
      <c r="P6" s="3">
        <v>4</v>
      </c>
      <c r="Q6" s="3">
        <v>4</v>
      </c>
      <c r="R6" s="3">
        <v>5</v>
      </c>
      <c r="S6" s="3">
        <f>ROUND(AVERAGE(Form_Responses[[#This Row],[Die angezeigten Formulare fühlten sich natürlich und passend an]:[Die Formulare waren hilfreich für die Validierungsaufgaben.]]),2)</f>
        <v>4.33</v>
      </c>
      <c r="T6" s="3">
        <v>5</v>
      </c>
      <c r="U6" s="3">
        <v>5</v>
      </c>
      <c r="V6" s="3">
        <v>5</v>
      </c>
      <c r="W6" s="3">
        <f>ROUND(AVERAGE(Form_Responses[[#This Row],[Die Formulare unterstützten mich angemessen bei der Validierung.]:[Das System berücksichtigte die notwendigen Validierungsdimensionen.]]),2)</f>
        <v>5</v>
      </c>
      <c r="X6" s="3">
        <v>4</v>
      </c>
      <c r="Y6" s="3">
        <v>5</v>
      </c>
      <c r="Z6" s="3">
        <v>2</v>
      </c>
      <c r="AA6" s="3">
        <f>ROUND(AVERAGE(Form_Responses[[#This Row],[Die Formulare erfassten mein Feedback präzise.]:[Es bestand kein Risiko für Missverständnisse.]]),2)</f>
        <v>3.67</v>
      </c>
      <c r="AB6" s="3">
        <v>5</v>
      </c>
      <c r="AC6" s="3">
        <v>5</v>
      </c>
      <c r="AD6" s="3">
        <v>5</v>
      </c>
      <c r="AE6" s="3">
        <f>ROUND(AVERAGE(Form_Responses[[#This Row],[Der Prozess war transparent und nachvollziehbar.]:[Das System verhielt sich konsistent und verlässlich.]]),2)</f>
        <v>5</v>
      </c>
      <c r="AF6" s="3">
        <v>3</v>
      </c>
      <c r="AG6" s="3">
        <v>4</v>
      </c>
      <c r="AH6" s="3">
        <v>3</v>
      </c>
      <c r="AI6" s="3" t="s">
        <v>46</v>
      </c>
      <c r="AJ6" s="3" t="s">
        <v>47</v>
      </c>
    </row>
    <row r="7" spans="1:37" ht="22.5" customHeight="1" x14ac:dyDescent="0.25">
      <c r="A7" s="2">
        <v>46132.419927175928</v>
      </c>
      <c r="B7" s="3" t="s">
        <v>32</v>
      </c>
      <c r="C7" s="3" t="s">
        <v>33</v>
      </c>
      <c r="D7" s="3" t="s">
        <v>48</v>
      </c>
      <c r="E7" s="3">
        <v>4</v>
      </c>
      <c r="F7" s="3">
        <v>2</v>
      </c>
      <c r="G7" s="3">
        <v>4</v>
      </c>
      <c r="H7" s="3">
        <v>2</v>
      </c>
      <c r="I7" s="3">
        <v>5</v>
      </c>
      <c r="J7" s="3">
        <v>2</v>
      </c>
      <c r="K7" s="3">
        <v>5</v>
      </c>
      <c r="L7" s="3">
        <v>2</v>
      </c>
      <c r="M7" s="3">
        <v>2</v>
      </c>
      <c r="N7" s="3">
        <v>1</v>
      </c>
      <c r="O7" s="3" cm="1">
        <f t="array" ref="O7">SUM(IF(MOD(COLUMN(E7:N7)-4,2)=0,5-E7:N7,E7:N7-1))*2.5</f>
        <v>77.5</v>
      </c>
      <c r="P7" s="3">
        <v>5</v>
      </c>
      <c r="Q7" s="3">
        <v>4</v>
      </c>
      <c r="R7" s="3">
        <v>4</v>
      </c>
      <c r="S7" s="3">
        <f>ROUND(AVERAGE(Form_Responses[[#This Row],[Die angezeigten Formulare fühlten sich natürlich und passend an]:[Die Formulare waren hilfreich für die Validierungsaufgaben.]]),2)</f>
        <v>4.33</v>
      </c>
      <c r="T7" s="3">
        <v>4</v>
      </c>
      <c r="U7" s="3">
        <v>4</v>
      </c>
      <c r="V7" s="3">
        <v>3</v>
      </c>
      <c r="W7" s="3">
        <f>ROUND(AVERAGE(Form_Responses[[#This Row],[Die Formulare unterstützten mich angemessen bei der Validierung.]:[Das System berücksichtigte die notwendigen Validierungsdimensionen.]]),2)</f>
        <v>3.67</v>
      </c>
      <c r="X7" s="3">
        <v>5</v>
      </c>
      <c r="Y7" s="3">
        <v>5</v>
      </c>
      <c r="Z7" s="3">
        <v>2</v>
      </c>
      <c r="AA7" s="3">
        <f>ROUND(AVERAGE(Form_Responses[[#This Row],[Die Formulare erfassten mein Feedback präzise.]:[Es bestand kein Risiko für Missverständnisse.]]),2)</f>
        <v>4</v>
      </c>
      <c r="AB7" s="3">
        <v>5</v>
      </c>
      <c r="AC7" s="3">
        <v>5</v>
      </c>
      <c r="AD7" s="3">
        <v>4</v>
      </c>
      <c r="AE7" s="3">
        <f>ROUND(AVERAGE(Form_Responses[[#This Row],[Der Prozess war transparent und nachvollziehbar.]:[Das System verhielt sich konsistent und verlässlich.]]),2)</f>
        <v>4.67</v>
      </c>
      <c r="AF7" s="3">
        <v>5</v>
      </c>
      <c r="AG7" s="3">
        <v>4</v>
      </c>
      <c r="AH7" s="3">
        <v>4</v>
      </c>
    </row>
    <row r="8" spans="1:37" ht="15.75" customHeight="1" x14ac:dyDescent="0.25">
      <c r="O8" s="4">
        <f>ROUND(AVERAGE(O2:O7),2)</f>
        <v>84.17</v>
      </c>
      <c r="S8">
        <f>ROUND(AVERAGE(S2:S7),2)</f>
        <v>4.33</v>
      </c>
      <c r="W8">
        <f>ROUND(AVERAGE(W2:W7),2)</f>
        <v>4.6100000000000003</v>
      </c>
      <c r="AA8">
        <f>ROUND(AVERAGE(AA2:AA7),2)</f>
        <v>4.0599999999999996</v>
      </c>
      <c r="AE8">
        <f>ROUND(AVERAGE(AE2:AE7),2)</f>
        <v>4.45</v>
      </c>
      <c r="AF8">
        <f>ROUND(AVERAGE(AF2:AF7),2)</f>
        <v>4.33</v>
      </c>
      <c r="AG8">
        <f t="shared" ref="AG8:AH8" si="0">ROUND(AVERAGE(AG2:AG7),2)</f>
        <v>4.5</v>
      </c>
      <c r="AH8">
        <f t="shared" si="0"/>
        <v>4.17</v>
      </c>
    </row>
    <row r="9" spans="1:37" ht="15.75" customHeight="1" x14ac:dyDescent="0.25">
      <c r="O9" s="4"/>
    </row>
    <row r="13" spans="1:37" ht="15.75" customHeight="1" x14ac:dyDescent="0.25">
      <c r="A13" t="s">
        <v>55</v>
      </c>
      <c r="B13" t="s">
        <v>1</v>
      </c>
      <c r="C13" t="s">
        <v>2</v>
      </c>
      <c r="D13" t="s">
        <v>54</v>
      </c>
      <c r="E13" t="s">
        <v>4</v>
      </c>
      <c r="F13" t="s">
        <v>5</v>
      </c>
      <c r="G13" t="s">
        <v>6</v>
      </c>
      <c r="H13" t="s">
        <v>7</v>
      </c>
      <c r="I13" t="s">
        <v>8</v>
      </c>
      <c r="J13" t="s">
        <v>9</v>
      </c>
      <c r="K13" t="s">
        <v>10</v>
      </c>
      <c r="L13" t="s">
        <v>11</v>
      </c>
      <c r="M13" t="s">
        <v>12</v>
      </c>
      <c r="N13" t="s">
        <v>13</v>
      </c>
      <c r="O13" t="s">
        <v>49</v>
      </c>
      <c r="P13" t="s">
        <v>14</v>
      </c>
      <c r="Q13" t="s">
        <v>15</v>
      </c>
      <c r="R13" t="s">
        <v>16</v>
      </c>
      <c r="S13" t="s">
        <v>50</v>
      </c>
      <c r="T13" t="s">
        <v>17</v>
      </c>
      <c r="U13" t="s">
        <v>18</v>
      </c>
      <c r="V13" t="s">
        <v>19</v>
      </c>
      <c r="W13" t="s">
        <v>51</v>
      </c>
      <c r="X13" t="s">
        <v>20</v>
      </c>
      <c r="Y13" t="s">
        <v>21</v>
      </c>
      <c r="Z13" t="s">
        <v>22</v>
      </c>
      <c r="AA13" t="s">
        <v>52</v>
      </c>
      <c r="AB13" t="s">
        <v>23</v>
      </c>
      <c r="AC13" t="s">
        <v>24</v>
      </c>
      <c r="AD13" t="s">
        <v>25</v>
      </c>
      <c r="AE13" t="s">
        <v>53</v>
      </c>
      <c r="AF13" t="s">
        <v>26</v>
      </c>
      <c r="AG13" t="s">
        <v>27</v>
      </c>
      <c r="AH13" t="s">
        <v>28</v>
      </c>
      <c r="AI13" t="s">
        <v>29</v>
      </c>
      <c r="AJ13" t="s">
        <v>30</v>
      </c>
      <c r="AK13" t="s">
        <v>31</v>
      </c>
    </row>
    <row r="14" spans="1:37" ht="15.75" customHeight="1" x14ac:dyDescent="0.25">
      <c r="A14" t="s">
        <v>56</v>
      </c>
      <c r="B14" t="s">
        <v>32</v>
      </c>
      <c r="C14" t="s">
        <v>33</v>
      </c>
      <c r="D14" t="s">
        <v>34</v>
      </c>
      <c r="E14">
        <v>4</v>
      </c>
      <c r="F14">
        <v>1</v>
      </c>
      <c r="G14">
        <v>3</v>
      </c>
      <c r="H14">
        <v>1</v>
      </c>
      <c r="I14">
        <v>4</v>
      </c>
      <c r="J14">
        <v>1</v>
      </c>
      <c r="K14">
        <v>5</v>
      </c>
      <c r="L14">
        <v>2</v>
      </c>
      <c r="M14">
        <v>3</v>
      </c>
      <c r="N14">
        <v>1</v>
      </c>
      <c r="O14" cm="1">
        <f t="array" ref="O14">SUM(IF(MOD(COLUMN(E14:N14)-4,2)=0,5-E14:N14,E14:N14-1))*2.5</f>
        <v>82.5</v>
      </c>
      <c r="P14">
        <v>5</v>
      </c>
      <c r="Q14">
        <v>3</v>
      </c>
      <c r="R14">
        <v>5</v>
      </c>
      <c r="S14">
        <v>4.33</v>
      </c>
      <c r="T14">
        <v>4</v>
      </c>
      <c r="U14">
        <v>5</v>
      </c>
      <c r="V14">
        <v>5</v>
      </c>
      <c r="W14">
        <v>4.67</v>
      </c>
      <c r="X14">
        <v>5</v>
      </c>
      <c r="Y14">
        <v>5</v>
      </c>
      <c r="Z14">
        <v>1</v>
      </c>
      <c r="AA14">
        <v>3.67</v>
      </c>
      <c r="AB14">
        <v>4</v>
      </c>
      <c r="AC14">
        <v>5</v>
      </c>
      <c r="AD14">
        <v>4</v>
      </c>
      <c r="AE14">
        <v>4.33</v>
      </c>
      <c r="AF14">
        <v>5</v>
      </c>
      <c r="AG14">
        <v>5</v>
      </c>
      <c r="AH14">
        <v>4</v>
      </c>
      <c r="AI14" t="s">
        <v>35</v>
      </c>
      <c r="AJ14" t="s">
        <v>36</v>
      </c>
      <c r="AK14" t="s">
        <v>37</v>
      </c>
    </row>
    <row r="15" spans="1:37" ht="15.75" customHeight="1" x14ac:dyDescent="0.25">
      <c r="A15" t="s">
        <v>57</v>
      </c>
      <c r="B15" t="s">
        <v>32</v>
      </c>
      <c r="C15" t="s">
        <v>33</v>
      </c>
      <c r="D15" t="s">
        <v>34</v>
      </c>
      <c r="E15">
        <v>5</v>
      </c>
      <c r="F15">
        <v>2</v>
      </c>
      <c r="G15">
        <v>4</v>
      </c>
      <c r="H15">
        <v>2</v>
      </c>
      <c r="I15">
        <v>5</v>
      </c>
      <c r="J15">
        <v>1</v>
      </c>
      <c r="K15">
        <v>5</v>
      </c>
      <c r="L15">
        <v>2</v>
      </c>
      <c r="M15">
        <v>5</v>
      </c>
      <c r="N15">
        <v>1</v>
      </c>
      <c r="O15" cm="1">
        <f t="array" ref="O15">SUM(IF(MOD(COLUMN(E15:N15)-4,2)=0,5-E15:N15,E15:N15-1))*2.5</f>
        <v>90</v>
      </c>
      <c r="P15">
        <v>4</v>
      </c>
      <c r="Q15">
        <v>4</v>
      </c>
      <c r="R15">
        <v>4</v>
      </c>
      <c r="S15">
        <v>4</v>
      </c>
      <c r="T15">
        <v>5</v>
      </c>
      <c r="U15">
        <v>5</v>
      </c>
      <c r="V15">
        <v>5</v>
      </c>
      <c r="W15">
        <v>5</v>
      </c>
      <c r="X15">
        <v>5</v>
      </c>
      <c r="Y15">
        <v>5</v>
      </c>
      <c r="Z15">
        <v>3</v>
      </c>
      <c r="AA15">
        <v>4.33</v>
      </c>
      <c r="AB15">
        <v>4</v>
      </c>
      <c r="AC15">
        <v>5</v>
      </c>
      <c r="AD15">
        <v>4</v>
      </c>
      <c r="AE15">
        <v>4.33</v>
      </c>
      <c r="AF15">
        <v>3</v>
      </c>
      <c r="AG15">
        <v>5</v>
      </c>
      <c r="AH15">
        <v>4</v>
      </c>
      <c r="AI15" t="s">
        <v>38</v>
      </c>
      <c r="AJ15" t="s">
        <v>39</v>
      </c>
      <c r="AK15" t="s">
        <v>40</v>
      </c>
    </row>
    <row r="16" spans="1:37" ht="15.75" customHeight="1" x14ac:dyDescent="0.25">
      <c r="A16" t="s">
        <v>58</v>
      </c>
      <c r="B16" t="s">
        <v>32</v>
      </c>
      <c r="C16" t="s">
        <v>33</v>
      </c>
      <c r="D16" t="s">
        <v>34</v>
      </c>
      <c r="E16">
        <v>5</v>
      </c>
      <c r="F16">
        <v>1</v>
      </c>
      <c r="G16">
        <v>4</v>
      </c>
      <c r="H16">
        <v>1</v>
      </c>
      <c r="I16">
        <v>5</v>
      </c>
      <c r="J16">
        <v>1</v>
      </c>
      <c r="K16">
        <v>5</v>
      </c>
      <c r="L16">
        <v>1</v>
      </c>
      <c r="M16">
        <v>5</v>
      </c>
      <c r="N16">
        <v>1</v>
      </c>
      <c r="O16" cm="1">
        <f t="array" ref="O16">SUM(IF(MOD(COLUMN(E16:N16)-4,2)=0,5-E16:N16,E16:N16-1))*2.5</f>
        <v>97.5</v>
      </c>
      <c r="P16">
        <v>5</v>
      </c>
      <c r="Q16">
        <v>5</v>
      </c>
      <c r="R16">
        <v>5</v>
      </c>
      <c r="S16">
        <v>5</v>
      </c>
      <c r="T16">
        <v>5</v>
      </c>
      <c r="U16">
        <v>5</v>
      </c>
      <c r="V16">
        <v>5</v>
      </c>
      <c r="W16">
        <v>5</v>
      </c>
      <c r="X16">
        <v>5</v>
      </c>
      <c r="Y16">
        <v>5</v>
      </c>
      <c r="Z16">
        <v>5</v>
      </c>
      <c r="AA16">
        <v>5</v>
      </c>
      <c r="AB16">
        <v>5</v>
      </c>
      <c r="AC16">
        <v>5</v>
      </c>
      <c r="AD16">
        <v>4</v>
      </c>
      <c r="AE16">
        <v>4.67</v>
      </c>
      <c r="AF16">
        <v>5</v>
      </c>
      <c r="AG16">
        <v>5</v>
      </c>
      <c r="AH16">
        <v>5</v>
      </c>
      <c r="AI16" t="s">
        <v>41</v>
      </c>
      <c r="AJ16" t="s">
        <v>42</v>
      </c>
      <c r="AK16" t="s">
        <v>43</v>
      </c>
    </row>
    <row r="17" spans="1:36" ht="15.75" customHeight="1" x14ac:dyDescent="0.25">
      <c r="A17" t="s">
        <v>59</v>
      </c>
      <c r="B17" t="s">
        <v>32</v>
      </c>
      <c r="C17" t="s">
        <v>33</v>
      </c>
      <c r="D17" t="s">
        <v>34</v>
      </c>
      <c r="E17">
        <v>5</v>
      </c>
      <c r="F17">
        <v>3</v>
      </c>
      <c r="G17">
        <v>3</v>
      </c>
      <c r="H17">
        <v>4</v>
      </c>
      <c r="I17">
        <v>4</v>
      </c>
      <c r="J17">
        <v>2</v>
      </c>
      <c r="K17">
        <v>5</v>
      </c>
      <c r="L17">
        <v>2</v>
      </c>
      <c r="M17">
        <v>3</v>
      </c>
      <c r="N17">
        <v>1</v>
      </c>
      <c r="O17" cm="1">
        <f t="array" ref="O17">SUM(IF(MOD(COLUMN(E17:N17)-4,2)=0,5-E17:N17,E17:N17-1))*2.5</f>
        <v>70</v>
      </c>
      <c r="P17">
        <v>4</v>
      </c>
      <c r="Q17">
        <v>4</v>
      </c>
      <c r="R17">
        <v>4</v>
      </c>
      <c r="S17">
        <v>4</v>
      </c>
      <c r="T17">
        <v>4</v>
      </c>
      <c r="U17">
        <v>5</v>
      </c>
      <c r="V17">
        <v>4</v>
      </c>
      <c r="W17">
        <v>4.33</v>
      </c>
      <c r="X17">
        <v>4</v>
      </c>
      <c r="Y17">
        <v>4</v>
      </c>
      <c r="Z17">
        <v>3</v>
      </c>
      <c r="AA17">
        <v>3.67</v>
      </c>
      <c r="AB17">
        <v>3</v>
      </c>
      <c r="AC17">
        <v>4</v>
      </c>
      <c r="AD17">
        <v>4</v>
      </c>
      <c r="AE17">
        <v>3.67</v>
      </c>
      <c r="AF17">
        <v>5</v>
      </c>
      <c r="AG17">
        <v>4</v>
      </c>
      <c r="AH17">
        <v>5</v>
      </c>
      <c r="AI17" t="s">
        <v>44</v>
      </c>
      <c r="AJ17" t="s">
        <v>45</v>
      </c>
    </row>
    <row r="18" spans="1:36" ht="15.75" customHeight="1" x14ac:dyDescent="0.25">
      <c r="A18" t="s">
        <v>60</v>
      </c>
      <c r="B18" t="s">
        <v>32</v>
      </c>
      <c r="C18" t="s">
        <v>33</v>
      </c>
      <c r="D18" t="s">
        <v>34</v>
      </c>
      <c r="E18">
        <v>3</v>
      </c>
      <c r="F18">
        <v>2</v>
      </c>
      <c r="G18">
        <v>4</v>
      </c>
      <c r="H18">
        <v>1</v>
      </c>
      <c r="I18">
        <v>4</v>
      </c>
      <c r="J18">
        <v>1</v>
      </c>
      <c r="K18">
        <v>5</v>
      </c>
      <c r="L18">
        <v>1</v>
      </c>
      <c r="M18">
        <v>5</v>
      </c>
      <c r="N18">
        <v>1</v>
      </c>
      <c r="O18" cm="1">
        <f t="array" ref="O18">SUM(IF(MOD(COLUMN(E18:N18)-4,2)=0,5-E18:N18,E18:N18-1))*2.5</f>
        <v>87.5</v>
      </c>
      <c r="P18">
        <v>4</v>
      </c>
      <c r="Q18">
        <v>4</v>
      </c>
      <c r="R18">
        <v>5</v>
      </c>
      <c r="S18">
        <v>4.33</v>
      </c>
      <c r="T18">
        <v>5</v>
      </c>
      <c r="U18">
        <v>5</v>
      </c>
      <c r="V18">
        <v>5</v>
      </c>
      <c r="W18">
        <v>5</v>
      </c>
      <c r="X18">
        <v>4</v>
      </c>
      <c r="Y18">
        <v>5</v>
      </c>
      <c r="Z18">
        <v>2</v>
      </c>
      <c r="AA18">
        <v>3.67</v>
      </c>
      <c r="AB18">
        <v>5</v>
      </c>
      <c r="AC18">
        <v>5</v>
      </c>
      <c r="AD18">
        <v>5</v>
      </c>
      <c r="AE18">
        <v>5</v>
      </c>
      <c r="AF18">
        <v>3</v>
      </c>
      <c r="AG18">
        <v>4</v>
      </c>
      <c r="AH18">
        <v>3</v>
      </c>
      <c r="AI18" t="s">
        <v>46</v>
      </c>
      <c r="AJ18" t="s">
        <v>47</v>
      </c>
    </row>
    <row r="19" spans="1:36" ht="15.75" customHeight="1" x14ac:dyDescent="0.25">
      <c r="A19" t="s">
        <v>61</v>
      </c>
      <c r="B19" t="s">
        <v>32</v>
      </c>
      <c r="C19" t="s">
        <v>33</v>
      </c>
      <c r="D19" t="s">
        <v>48</v>
      </c>
      <c r="E19">
        <v>4</v>
      </c>
      <c r="F19">
        <v>2</v>
      </c>
      <c r="G19">
        <v>4</v>
      </c>
      <c r="H19">
        <v>2</v>
      </c>
      <c r="I19">
        <v>5</v>
      </c>
      <c r="J19">
        <v>2</v>
      </c>
      <c r="K19">
        <v>5</v>
      </c>
      <c r="L19">
        <v>2</v>
      </c>
      <c r="M19">
        <v>2</v>
      </c>
      <c r="N19">
        <v>1</v>
      </c>
      <c r="O19" cm="1">
        <f t="array" ref="O19">SUM(IF(MOD(COLUMN(E19:N19)-4,2)=0,5-E19:N19,E19:N19-1))*2.5</f>
        <v>77.5</v>
      </c>
      <c r="P19">
        <v>5</v>
      </c>
      <c r="Q19">
        <v>4</v>
      </c>
      <c r="R19">
        <v>4</v>
      </c>
      <c r="S19">
        <v>4.33</v>
      </c>
      <c r="T19">
        <v>4</v>
      </c>
      <c r="U19">
        <v>4</v>
      </c>
      <c r="V19">
        <v>3</v>
      </c>
      <c r="W19">
        <v>3.67</v>
      </c>
      <c r="X19">
        <v>5</v>
      </c>
      <c r="Y19">
        <v>5</v>
      </c>
      <c r="Z19">
        <v>2</v>
      </c>
      <c r="AA19">
        <v>4</v>
      </c>
      <c r="AB19">
        <v>5</v>
      </c>
      <c r="AC19">
        <v>5</v>
      </c>
      <c r="AD19">
        <v>4</v>
      </c>
      <c r="AE19">
        <v>4.67</v>
      </c>
      <c r="AF19">
        <v>5</v>
      </c>
      <c r="AG19">
        <v>4</v>
      </c>
      <c r="AH19">
        <v>4</v>
      </c>
    </row>
    <row r="20" spans="1:36" ht="15.75" customHeight="1" x14ac:dyDescent="0.25">
      <c r="O20">
        <v>84.17</v>
      </c>
      <c r="S20">
        <v>4.33</v>
      </c>
      <c r="W20">
        <v>4.6100000000000003</v>
      </c>
      <c r="AA20">
        <v>4.0599999999999996</v>
      </c>
      <c r="AE20">
        <v>4.45</v>
      </c>
      <c r="AF20">
        <v>4.33</v>
      </c>
      <c r="AG20">
        <v>4.5</v>
      </c>
      <c r="AH20">
        <v>4.17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7E6CD-0C70-4E58-9933-48EC22670333}">
  <dimension ref="A1:D7"/>
  <sheetViews>
    <sheetView tabSelected="1" workbookViewId="0">
      <selection activeCell="F9" sqref="F9"/>
    </sheetView>
  </sheetViews>
  <sheetFormatPr defaultRowHeight="13.2" x14ac:dyDescent="0.25"/>
  <cols>
    <col min="2" max="2" width="5.6640625" bestFit="1" customWidth="1"/>
    <col min="3" max="3" width="6.77734375" bestFit="1" customWidth="1"/>
    <col min="4" max="4" width="13.77734375" bestFit="1" customWidth="1"/>
  </cols>
  <sheetData>
    <row r="1" spans="1:4" x14ac:dyDescent="0.25">
      <c r="A1" t="s">
        <v>55</v>
      </c>
      <c r="B1" s="8" t="s">
        <v>88</v>
      </c>
      <c r="C1" s="8" t="s">
        <v>89</v>
      </c>
      <c r="D1" s="8" t="s">
        <v>90</v>
      </c>
    </row>
    <row r="2" spans="1:4" x14ac:dyDescent="0.25">
      <c r="A2" t="s">
        <v>56</v>
      </c>
      <c r="B2" t="s">
        <v>32</v>
      </c>
      <c r="C2" t="s">
        <v>33</v>
      </c>
      <c r="D2" t="s">
        <v>34</v>
      </c>
    </row>
    <row r="3" spans="1:4" x14ac:dyDescent="0.25">
      <c r="A3" t="s">
        <v>57</v>
      </c>
      <c r="B3" t="s">
        <v>32</v>
      </c>
      <c r="C3" t="s">
        <v>33</v>
      </c>
      <c r="D3" t="s">
        <v>34</v>
      </c>
    </row>
    <row r="4" spans="1:4" x14ac:dyDescent="0.25">
      <c r="A4" t="s">
        <v>58</v>
      </c>
      <c r="B4" t="s">
        <v>32</v>
      </c>
      <c r="C4" t="s">
        <v>33</v>
      </c>
      <c r="D4" t="s">
        <v>34</v>
      </c>
    </row>
    <row r="5" spans="1:4" x14ac:dyDescent="0.25">
      <c r="A5" t="s">
        <v>59</v>
      </c>
      <c r="B5" t="s">
        <v>32</v>
      </c>
      <c r="C5" t="s">
        <v>33</v>
      </c>
      <c r="D5" t="s">
        <v>34</v>
      </c>
    </row>
    <row r="6" spans="1:4" x14ac:dyDescent="0.25">
      <c r="A6" t="s">
        <v>60</v>
      </c>
      <c r="B6" t="s">
        <v>32</v>
      </c>
      <c r="C6" t="s">
        <v>33</v>
      </c>
      <c r="D6" t="s">
        <v>34</v>
      </c>
    </row>
    <row r="7" spans="1:4" x14ac:dyDescent="0.25">
      <c r="A7" t="s">
        <v>61</v>
      </c>
      <c r="B7" t="s">
        <v>32</v>
      </c>
      <c r="C7" t="s">
        <v>33</v>
      </c>
      <c r="D7" t="s">
        <v>48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EA78A-FD90-4263-A19C-B3969EC4A333}">
  <dimension ref="A1:L8"/>
  <sheetViews>
    <sheetView workbookViewId="0">
      <selection activeCell="K21" sqref="K21"/>
    </sheetView>
  </sheetViews>
  <sheetFormatPr defaultRowHeight="13.2" x14ac:dyDescent="0.25"/>
  <cols>
    <col min="1" max="1" width="9.88671875" bestFit="1" customWidth="1"/>
    <col min="2" max="5" width="5" bestFit="1" customWidth="1"/>
    <col min="6" max="6" width="4" bestFit="1" customWidth="1"/>
    <col min="7" max="7" width="5" bestFit="1" customWidth="1"/>
    <col min="8" max="8" width="3.21875" bestFit="1" customWidth="1"/>
    <col min="9" max="10" width="5" bestFit="1" customWidth="1"/>
    <col min="11" max="11" width="4.21875" bestFit="1" customWidth="1"/>
    <col min="12" max="12" width="10.21875" bestFit="1" customWidth="1"/>
  </cols>
  <sheetData>
    <row r="1" spans="1:12" x14ac:dyDescent="0.25">
      <c r="A1" s="6" t="s">
        <v>55</v>
      </c>
      <c r="B1" s="9" t="s">
        <v>72</v>
      </c>
      <c r="C1" s="9" t="s">
        <v>73</v>
      </c>
      <c r="D1" s="9" t="s">
        <v>74</v>
      </c>
      <c r="E1" s="9" t="s">
        <v>75</v>
      </c>
      <c r="F1" s="9" t="s">
        <v>76</v>
      </c>
      <c r="G1" s="9" t="s">
        <v>77</v>
      </c>
      <c r="H1" s="9" t="s">
        <v>78</v>
      </c>
      <c r="I1" s="9" t="s">
        <v>79</v>
      </c>
      <c r="J1" s="9" t="s">
        <v>80</v>
      </c>
      <c r="K1" s="9" t="s">
        <v>81</v>
      </c>
      <c r="L1" s="10" t="s">
        <v>49</v>
      </c>
    </row>
    <row r="2" spans="1:12" x14ac:dyDescent="0.25">
      <c r="A2" t="s">
        <v>56</v>
      </c>
      <c r="B2">
        <v>4</v>
      </c>
      <c r="C2">
        <v>1</v>
      </c>
      <c r="D2">
        <v>3</v>
      </c>
      <c r="E2">
        <v>1</v>
      </c>
      <c r="F2">
        <v>4</v>
      </c>
      <c r="G2">
        <v>1</v>
      </c>
      <c r="H2">
        <v>5</v>
      </c>
      <c r="I2">
        <v>2</v>
      </c>
      <c r="J2">
        <v>3</v>
      </c>
      <c r="K2">
        <v>1</v>
      </c>
      <c r="L2" cm="1">
        <f t="array" ref="L2">SUM(IF(MOD(COLUMN(B2:K2)-1,2)=0,5-B2:K2,B2:K2-1))*2.5</f>
        <v>82.5</v>
      </c>
    </row>
    <row r="3" spans="1:12" x14ac:dyDescent="0.25">
      <c r="A3" t="s">
        <v>57</v>
      </c>
      <c r="B3">
        <v>5</v>
      </c>
      <c r="C3">
        <v>2</v>
      </c>
      <c r="D3">
        <v>4</v>
      </c>
      <c r="E3">
        <v>2</v>
      </c>
      <c r="F3">
        <v>5</v>
      </c>
      <c r="G3">
        <v>1</v>
      </c>
      <c r="H3">
        <v>5</v>
      </c>
      <c r="I3">
        <v>2</v>
      </c>
      <c r="J3">
        <v>5</v>
      </c>
      <c r="K3">
        <v>1</v>
      </c>
      <c r="L3" cm="1">
        <f t="array" ref="L3">SUM(IF(MOD(COLUMN(B3:K3)-1,2)=0,5-B3:K3,B3:K3-1))*2.5</f>
        <v>90</v>
      </c>
    </row>
    <row r="4" spans="1:12" x14ac:dyDescent="0.25">
      <c r="A4" t="s">
        <v>58</v>
      </c>
      <c r="B4">
        <v>5</v>
      </c>
      <c r="C4">
        <v>1</v>
      </c>
      <c r="D4">
        <v>4</v>
      </c>
      <c r="E4">
        <v>1</v>
      </c>
      <c r="F4">
        <v>5</v>
      </c>
      <c r="G4">
        <v>1</v>
      </c>
      <c r="H4">
        <v>5</v>
      </c>
      <c r="I4">
        <v>1</v>
      </c>
      <c r="J4">
        <v>5</v>
      </c>
      <c r="K4">
        <v>1</v>
      </c>
      <c r="L4" cm="1">
        <f t="array" ref="L4">SUM(IF(MOD(COLUMN(B4:K4)-1,2)=0,5-B4:K4,B4:K4-1))*2.5</f>
        <v>97.5</v>
      </c>
    </row>
    <row r="5" spans="1:12" x14ac:dyDescent="0.25">
      <c r="A5" t="s">
        <v>59</v>
      </c>
      <c r="B5">
        <v>5</v>
      </c>
      <c r="C5">
        <v>3</v>
      </c>
      <c r="D5">
        <v>3</v>
      </c>
      <c r="E5">
        <v>4</v>
      </c>
      <c r="F5">
        <v>4</v>
      </c>
      <c r="G5">
        <v>2</v>
      </c>
      <c r="H5">
        <v>5</v>
      </c>
      <c r="I5">
        <v>2</v>
      </c>
      <c r="J5">
        <v>3</v>
      </c>
      <c r="K5">
        <v>1</v>
      </c>
      <c r="L5" cm="1">
        <f t="array" ref="L5">SUM(IF(MOD(COLUMN(B5:K5)-1,2)=0,5-B5:K5,B5:K5-1))*2.5</f>
        <v>70</v>
      </c>
    </row>
    <row r="6" spans="1:12" x14ac:dyDescent="0.25">
      <c r="A6" t="s">
        <v>60</v>
      </c>
      <c r="B6">
        <v>3</v>
      </c>
      <c r="C6">
        <v>2</v>
      </c>
      <c r="D6">
        <v>4</v>
      </c>
      <c r="E6">
        <v>1</v>
      </c>
      <c r="F6">
        <v>4</v>
      </c>
      <c r="G6">
        <v>1</v>
      </c>
      <c r="H6">
        <v>5</v>
      </c>
      <c r="I6">
        <v>1</v>
      </c>
      <c r="J6">
        <v>5</v>
      </c>
      <c r="K6">
        <v>1</v>
      </c>
      <c r="L6" cm="1">
        <f t="array" ref="L6">SUM(IF(MOD(COLUMN(B6:K6)-1,2)=0,5-B6:K6,B6:K6-1))*2.5</f>
        <v>87.5</v>
      </c>
    </row>
    <row r="7" spans="1:12" x14ac:dyDescent="0.25">
      <c r="A7" t="s">
        <v>61</v>
      </c>
      <c r="B7">
        <v>4</v>
      </c>
      <c r="C7">
        <v>2</v>
      </c>
      <c r="D7">
        <v>4</v>
      </c>
      <c r="E7">
        <v>2</v>
      </c>
      <c r="F7">
        <v>5</v>
      </c>
      <c r="G7">
        <v>2</v>
      </c>
      <c r="H7">
        <v>5</v>
      </c>
      <c r="I7">
        <v>2</v>
      </c>
      <c r="J7">
        <v>2</v>
      </c>
      <c r="K7">
        <v>1</v>
      </c>
      <c r="L7" cm="1">
        <f t="array" ref="L7">SUM(IF(MOD(COLUMN(B7:K7)-1,2)=0,5-B7:K7,B7:K7-1))*2.5</f>
        <v>77.5</v>
      </c>
    </row>
    <row r="8" spans="1:12" x14ac:dyDescent="0.25">
      <c r="A8" t="s">
        <v>62</v>
      </c>
      <c r="B8">
        <f>ROUND(AVERAGE(B2:B7),2)</f>
        <v>4.33</v>
      </c>
      <c r="C8">
        <f t="shared" ref="C8:L8" si="0">ROUND(AVERAGE(C2:C7),2)</f>
        <v>1.83</v>
      </c>
      <c r="D8">
        <f t="shared" si="0"/>
        <v>3.67</v>
      </c>
      <c r="E8">
        <f t="shared" si="0"/>
        <v>1.83</v>
      </c>
      <c r="F8">
        <f t="shared" si="0"/>
        <v>4.5</v>
      </c>
      <c r="G8">
        <f t="shared" si="0"/>
        <v>1.33</v>
      </c>
      <c r="H8">
        <f t="shared" si="0"/>
        <v>5</v>
      </c>
      <c r="I8">
        <f t="shared" si="0"/>
        <v>1.67</v>
      </c>
      <c r="J8">
        <f t="shared" si="0"/>
        <v>3.83</v>
      </c>
      <c r="K8">
        <f t="shared" si="0"/>
        <v>1</v>
      </c>
      <c r="L8" s="7">
        <f t="shared" si="0"/>
        <v>84.17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9F82C-5DA2-4660-B243-D3DA6C779D1C}">
  <dimension ref="A1:Q8"/>
  <sheetViews>
    <sheetView workbookViewId="0">
      <selection activeCell="J21" sqref="J21"/>
    </sheetView>
  </sheetViews>
  <sheetFormatPr defaultRowHeight="13.2" x14ac:dyDescent="0.25"/>
  <cols>
    <col min="1" max="1" width="9.88671875" bestFit="1" customWidth="1"/>
    <col min="2" max="2" width="4" bestFit="1" customWidth="1"/>
    <col min="3" max="3" width="3.21875" bestFit="1" customWidth="1"/>
    <col min="4" max="4" width="4" bestFit="1" customWidth="1"/>
    <col min="5" max="5" width="16.44140625" bestFit="1" customWidth="1"/>
    <col min="6" max="6" width="4" bestFit="1" customWidth="1"/>
    <col min="7" max="7" width="5" bestFit="1" customWidth="1"/>
    <col min="8" max="8" width="4" bestFit="1" customWidth="1"/>
    <col min="9" max="9" width="8.44140625" bestFit="1" customWidth="1"/>
    <col min="10" max="12" width="5" bestFit="1" customWidth="1"/>
    <col min="14" max="17" width="5" bestFit="1" customWidth="1"/>
  </cols>
  <sheetData>
    <row r="1" spans="1:17" x14ac:dyDescent="0.25">
      <c r="A1" t="s">
        <v>55</v>
      </c>
      <c r="B1" s="8" t="s">
        <v>63</v>
      </c>
      <c r="C1" s="8" t="s">
        <v>64</v>
      </c>
      <c r="D1" s="8" t="s">
        <v>65</v>
      </c>
      <c r="E1" s="7" t="s">
        <v>50</v>
      </c>
      <c r="F1" s="8" t="s">
        <v>66</v>
      </c>
      <c r="G1" s="8" t="s">
        <v>67</v>
      </c>
      <c r="H1" s="8" t="s">
        <v>68</v>
      </c>
      <c r="I1" s="7" t="s">
        <v>51</v>
      </c>
      <c r="J1" s="8" t="s">
        <v>69</v>
      </c>
      <c r="K1" s="8" t="s">
        <v>70</v>
      </c>
      <c r="L1" s="8" t="s">
        <v>71</v>
      </c>
      <c r="M1" s="7" t="s">
        <v>52</v>
      </c>
      <c r="N1" s="8" t="s">
        <v>56</v>
      </c>
      <c r="O1" s="8" t="s">
        <v>57</v>
      </c>
      <c r="P1" s="8" t="s">
        <v>58</v>
      </c>
      <c r="Q1" s="7" t="s">
        <v>53</v>
      </c>
    </row>
    <row r="2" spans="1:17" x14ac:dyDescent="0.25">
      <c r="A2" t="s">
        <v>56</v>
      </c>
      <c r="B2">
        <v>5</v>
      </c>
      <c r="C2">
        <v>3</v>
      </c>
      <c r="D2">
        <v>5</v>
      </c>
      <c r="E2">
        <f>ROUND(AVERAGE(B2:D2),2)</f>
        <v>4.33</v>
      </c>
      <c r="F2">
        <v>4</v>
      </c>
      <c r="G2">
        <v>5</v>
      </c>
      <c r="H2">
        <v>5</v>
      </c>
      <c r="I2">
        <f>ROUND(AVERAGE(F2:H2),2)</f>
        <v>4.67</v>
      </c>
      <c r="J2">
        <v>5</v>
      </c>
      <c r="K2">
        <v>5</v>
      </c>
      <c r="L2">
        <v>1</v>
      </c>
      <c r="M2">
        <f>ROUND(AVERAGE(J2:L2),2)</f>
        <v>3.67</v>
      </c>
      <c r="N2">
        <v>4</v>
      </c>
      <c r="O2">
        <v>5</v>
      </c>
      <c r="P2">
        <v>4</v>
      </c>
      <c r="Q2">
        <f>ROUND(AVERAGE(N2:P2),2)</f>
        <v>4.33</v>
      </c>
    </row>
    <row r="3" spans="1:17" x14ac:dyDescent="0.25">
      <c r="A3" t="s">
        <v>57</v>
      </c>
      <c r="B3">
        <v>4</v>
      </c>
      <c r="C3">
        <v>4</v>
      </c>
      <c r="D3">
        <v>4</v>
      </c>
      <c r="E3">
        <f t="shared" ref="E3:E7" si="0">ROUND(AVERAGE(B3:D3),2)</f>
        <v>4</v>
      </c>
      <c r="F3">
        <v>5</v>
      </c>
      <c r="G3">
        <v>5</v>
      </c>
      <c r="H3">
        <v>5</v>
      </c>
      <c r="I3">
        <f t="shared" ref="I3:I7" si="1">ROUND(AVERAGE(F3:H3),2)</f>
        <v>5</v>
      </c>
      <c r="J3">
        <v>5</v>
      </c>
      <c r="K3">
        <v>5</v>
      </c>
      <c r="L3">
        <v>3</v>
      </c>
      <c r="M3">
        <f t="shared" ref="M3:M7" si="2">ROUND(AVERAGE(J3:L3),2)</f>
        <v>4.33</v>
      </c>
      <c r="N3">
        <v>4</v>
      </c>
      <c r="O3">
        <v>5</v>
      </c>
      <c r="P3">
        <v>4</v>
      </c>
      <c r="Q3">
        <f t="shared" ref="Q3:Q7" si="3">ROUND(AVERAGE(N3:P3),2)</f>
        <v>4.33</v>
      </c>
    </row>
    <row r="4" spans="1:17" x14ac:dyDescent="0.25">
      <c r="A4" t="s">
        <v>58</v>
      </c>
      <c r="B4">
        <v>5</v>
      </c>
      <c r="C4">
        <v>5</v>
      </c>
      <c r="D4">
        <v>5</v>
      </c>
      <c r="E4">
        <f t="shared" si="0"/>
        <v>5</v>
      </c>
      <c r="F4">
        <v>5</v>
      </c>
      <c r="G4">
        <v>5</v>
      </c>
      <c r="H4">
        <v>5</v>
      </c>
      <c r="I4">
        <f t="shared" si="1"/>
        <v>5</v>
      </c>
      <c r="J4">
        <v>5</v>
      </c>
      <c r="K4">
        <v>5</v>
      </c>
      <c r="L4">
        <v>5</v>
      </c>
      <c r="M4">
        <f t="shared" si="2"/>
        <v>5</v>
      </c>
      <c r="N4">
        <v>5</v>
      </c>
      <c r="O4">
        <v>5</v>
      </c>
      <c r="P4">
        <v>4</v>
      </c>
      <c r="Q4">
        <f t="shared" si="3"/>
        <v>4.67</v>
      </c>
    </row>
    <row r="5" spans="1:17" x14ac:dyDescent="0.25">
      <c r="A5" t="s">
        <v>59</v>
      </c>
      <c r="B5">
        <v>4</v>
      </c>
      <c r="C5">
        <v>4</v>
      </c>
      <c r="D5">
        <v>4</v>
      </c>
      <c r="E5">
        <f t="shared" si="0"/>
        <v>4</v>
      </c>
      <c r="F5">
        <v>4</v>
      </c>
      <c r="G5">
        <v>5</v>
      </c>
      <c r="H5">
        <v>4</v>
      </c>
      <c r="I5">
        <f t="shared" si="1"/>
        <v>4.33</v>
      </c>
      <c r="J5">
        <v>4</v>
      </c>
      <c r="K5">
        <v>4</v>
      </c>
      <c r="L5">
        <v>3</v>
      </c>
      <c r="M5">
        <f t="shared" si="2"/>
        <v>3.67</v>
      </c>
      <c r="N5">
        <v>3</v>
      </c>
      <c r="O5">
        <v>4</v>
      </c>
      <c r="P5">
        <v>4</v>
      </c>
      <c r="Q5">
        <f t="shared" si="3"/>
        <v>3.67</v>
      </c>
    </row>
    <row r="6" spans="1:17" x14ac:dyDescent="0.25">
      <c r="A6" t="s">
        <v>60</v>
      </c>
      <c r="B6">
        <v>4</v>
      </c>
      <c r="C6">
        <v>4</v>
      </c>
      <c r="D6">
        <v>5</v>
      </c>
      <c r="E6">
        <f t="shared" si="0"/>
        <v>4.33</v>
      </c>
      <c r="F6">
        <v>5</v>
      </c>
      <c r="G6">
        <v>5</v>
      </c>
      <c r="H6">
        <v>5</v>
      </c>
      <c r="I6">
        <f t="shared" si="1"/>
        <v>5</v>
      </c>
      <c r="J6">
        <v>4</v>
      </c>
      <c r="K6">
        <v>5</v>
      </c>
      <c r="L6">
        <v>2</v>
      </c>
      <c r="M6">
        <f t="shared" si="2"/>
        <v>3.67</v>
      </c>
      <c r="N6">
        <v>5</v>
      </c>
      <c r="O6">
        <v>5</v>
      </c>
      <c r="P6">
        <v>5</v>
      </c>
      <c r="Q6">
        <f t="shared" si="3"/>
        <v>5</v>
      </c>
    </row>
    <row r="7" spans="1:17" x14ac:dyDescent="0.25">
      <c r="A7" t="s">
        <v>61</v>
      </c>
      <c r="B7">
        <v>5</v>
      </c>
      <c r="C7">
        <v>4</v>
      </c>
      <c r="D7">
        <v>4</v>
      </c>
      <c r="E7">
        <f t="shared" si="0"/>
        <v>4.33</v>
      </c>
      <c r="F7">
        <v>4</v>
      </c>
      <c r="G7">
        <v>4</v>
      </c>
      <c r="H7">
        <v>3</v>
      </c>
      <c r="I7">
        <f t="shared" si="1"/>
        <v>3.67</v>
      </c>
      <c r="J7">
        <v>5</v>
      </c>
      <c r="K7">
        <v>5</v>
      </c>
      <c r="L7">
        <v>2</v>
      </c>
      <c r="M7">
        <f t="shared" si="2"/>
        <v>4</v>
      </c>
      <c r="N7">
        <v>5</v>
      </c>
      <c r="O7">
        <v>5</v>
      </c>
      <c r="P7">
        <v>4</v>
      </c>
      <c r="Q7">
        <f>ROUND(AVERAGE(N7:P7),2)</f>
        <v>4.67</v>
      </c>
    </row>
    <row r="8" spans="1:17" x14ac:dyDescent="0.25">
      <c r="A8" t="s">
        <v>62</v>
      </c>
      <c r="B8">
        <f t="shared" ref="B8:D8" si="4">ROUND(AVERAGE(B2:B7),2)</f>
        <v>4.5</v>
      </c>
      <c r="C8">
        <f t="shared" si="4"/>
        <v>4</v>
      </c>
      <c r="D8">
        <f t="shared" si="4"/>
        <v>4.5</v>
      </c>
      <c r="E8" s="7">
        <f>ROUND(AVERAGE(E2:E7),2)</f>
        <v>4.33</v>
      </c>
      <c r="F8">
        <f t="shared" ref="F8:H8" si="5">ROUND(AVERAGE(F2:F7),2)</f>
        <v>4.5</v>
      </c>
      <c r="G8">
        <f t="shared" si="5"/>
        <v>4.83</v>
      </c>
      <c r="H8">
        <f t="shared" si="5"/>
        <v>4.5</v>
      </c>
      <c r="I8" s="7">
        <f>ROUND(AVERAGE(I2:I7),2)</f>
        <v>4.6100000000000003</v>
      </c>
      <c r="J8">
        <f t="shared" ref="J8:P8" si="6">ROUND(AVERAGE(J2:J7),2)</f>
        <v>4.67</v>
      </c>
      <c r="K8">
        <f t="shared" si="6"/>
        <v>4.83</v>
      </c>
      <c r="L8">
        <f t="shared" si="6"/>
        <v>2.67</v>
      </c>
      <c r="M8" s="7">
        <f t="shared" si="6"/>
        <v>4.0599999999999996</v>
      </c>
      <c r="N8">
        <f t="shared" si="6"/>
        <v>4.33</v>
      </c>
      <c r="O8">
        <f t="shared" si="6"/>
        <v>4.83</v>
      </c>
      <c r="P8">
        <f t="shared" si="6"/>
        <v>4.17</v>
      </c>
      <c r="Q8" s="7">
        <f>ROUND(AVERAGE(Q2:Q7),2)</f>
        <v>4.45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429F0-17D9-482D-8459-E94C7F43755B}">
  <dimension ref="A1:D8"/>
  <sheetViews>
    <sheetView workbookViewId="0">
      <selection activeCell="F21" sqref="F21"/>
    </sheetView>
  </sheetViews>
  <sheetFormatPr defaultRowHeight="13.2" x14ac:dyDescent="0.25"/>
  <cols>
    <col min="1" max="1" width="9.88671875" bestFit="1" customWidth="1"/>
    <col min="2" max="2" width="5" bestFit="1" customWidth="1"/>
    <col min="3" max="3" width="4" bestFit="1" customWidth="1"/>
    <col min="4" max="4" width="5" bestFit="1" customWidth="1"/>
  </cols>
  <sheetData>
    <row r="1" spans="1:4" x14ac:dyDescent="0.25">
      <c r="A1" t="s">
        <v>55</v>
      </c>
      <c r="B1" s="8" t="s">
        <v>82</v>
      </c>
      <c r="C1" s="8" t="s">
        <v>83</v>
      </c>
      <c r="D1" s="8" t="s">
        <v>84</v>
      </c>
    </row>
    <row r="2" spans="1:4" x14ac:dyDescent="0.25">
      <c r="A2" t="s">
        <v>56</v>
      </c>
      <c r="B2">
        <v>5</v>
      </c>
      <c r="C2">
        <v>5</v>
      </c>
      <c r="D2">
        <v>4</v>
      </c>
    </row>
    <row r="3" spans="1:4" x14ac:dyDescent="0.25">
      <c r="A3" t="s">
        <v>57</v>
      </c>
      <c r="B3">
        <v>3</v>
      </c>
      <c r="C3">
        <v>5</v>
      </c>
      <c r="D3">
        <v>4</v>
      </c>
    </row>
    <row r="4" spans="1:4" x14ac:dyDescent="0.25">
      <c r="A4" t="s">
        <v>58</v>
      </c>
      <c r="B4">
        <v>5</v>
      </c>
      <c r="C4">
        <v>5</v>
      </c>
      <c r="D4">
        <v>5</v>
      </c>
    </row>
    <row r="5" spans="1:4" x14ac:dyDescent="0.25">
      <c r="A5" t="s">
        <v>59</v>
      </c>
      <c r="B5">
        <v>5</v>
      </c>
      <c r="C5">
        <v>4</v>
      </c>
      <c r="D5">
        <v>5</v>
      </c>
    </row>
    <row r="6" spans="1:4" x14ac:dyDescent="0.25">
      <c r="A6" t="s">
        <v>60</v>
      </c>
      <c r="B6">
        <v>3</v>
      </c>
      <c r="C6">
        <v>4</v>
      </c>
      <c r="D6">
        <v>3</v>
      </c>
    </row>
    <row r="7" spans="1:4" x14ac:dyDescent="0.25">
      <c r="A7" t="s">
        <v>61</v>
      </c>
      <c r="B7">
        <v>5</v>
      </c>
      <c r="C7">
        <v>4</v>
      </c>
      <c r="D7">
        <v>4</v>
      </c>
    </row>
    <row r="8" spans="1:4" x14ac:dyDescent="0.25">
      <c r="A8" t="s">
        <v>62</v>
      </c>
      <c r="B8" s="7">
        <f>ROUND(AVERAGE(B2:B7),2)</f>
        <v>4.33</v>
      </c>
      <c r="C8" s="7">
        <f t="shared" ref="C8:D8" si="0">ROUND(AVERAGE(C2:C7),2)</f>
        <v>4.5</v>
      </c>
      <c r="D8" s="7">
        <f t="shared" si="0"/>
        <v>4.17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AD4A5-0A12-4803-B09F-FC78EE03A992}">
  <dimension ref="A1:D7"/>
  <sheetViews>
    <sheetView workbookViewId="0">
      <selection activeCell="B23" sqref="B23"/>
    </sheetView>
  </sheetViews>
  <sheetFormatPr defaultRowHeight="13.2" x14ac:dyDescent="0.25"/>
  <cols>
    <col min="2" max="2" width="73.21875" bestFit="1" customWidth="1"/>
    <col min="3" max="3" width="135.88671875" bestFit="1" customWidth="1"/>
    <col min="4" max="4" width="86.109375" bestFit="1" customWidth="1"/>
  </cols>
  <sheetData>
    <row r="1" spans="1:4" x14ac:dyDescent="0.25">
      <c r="A1" s="8" t="s">
        <v>55</v>
      </c>
      <c r="B1" s="8" t="s">
        <v>85</v>
      </c>
      <c r="C1" s="8" t="s">
        <v>86</v>
      </c>
      <c r="D1" s="8" t="s">
        <v>87</v>
      </c>
    </row>
    <row r="2" spans="1:4" x14ac:dyDescent="0.25">
      <c r="A2" s="8" t="s">
        <v>56</v>
      </c>
      <c r="B2" t="s">
        <v>35</v>
      </c>
      <c r="C2" t="s">
        <v>36</v>
      </c>
      <c r="D2" t="s">
        <v>37</v>
      </c>
    </row>
    <row r="3" spans="1:4" x14ac:dyDescent="0.25">
      <c r="A3" s="8" t="s">
        <v>57</v>
      </c>
      <c r="B3" t="s">
        <v>38</v>
      </c>
      <c r="C3" t="s">
        <v>39</v>
      </c>
      <c r="D3" t="s">
        <v>40</v>
      </c>
    </row>
    <row r="4" spans="1:4" x14ac:dyDescent="0.25">
      <c r="A4" s="8" t="s">
        <v>58</v>
      </c>
      <c r="B4" t="s">
        <v>41</v>
      </c>
      <c r="C4" t="s">
        <v>42</v>
      </c>
      <c r="D4" t="s">
        <v>43</v>
      </c>
    </row>
    <row r="5" spans="1:4" x14ac:dyDescent="0.25">
      <c r="A5" s="8" t="s">
        <v>59</v>
      </c>
      <c r="B5" t="s">
        <v>44</v>
      </c>
      <c r="C5" t="s">
        <v>45</v>
      </c>
    </row>
    <row r="6" spans="1:4" x14ac:dyDescent="0.25">
      <c r="A6" s="8" t="s">
        <v>60</v>
      </c>
      <c r="B6" t="s">
        <v>46</v>
      </c>
      <c r="C6" t="s">
        <v>47</v>
      </c>
    </row>
    <row r="7" spans="1:4" x14ac:dyDescent="0.25">
      <c r="A7" s="8" t="s">
        <v>61</v>
      </c>
    </row>
  </sheetData>
  <phoneticPr fontId="6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Formularantworten 1</vt:lpstr>
      <vt:lpstr>Demographische Fragen</vt:lpstr>
      <vt:lpstr>SUS</vt:lpstr>
      <vt:lpstr>HEAT</vt:lpstr>
      <vt:lpstr>Usability Metriken</vt:lpstr>
      <vt:lpstr>Offene Fragen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Roeber, Jonas</dc:creator>
  <cp:lastModifiedBy>Roeber, Jonas</cp:lastModifiedBy>
  <dcterms:created xsi:type="dcterms:W3CDTF">2026-05-02T15:59:05Z</dcterms:created>
  <dcterms:modified xsi:type="dcterms:W3CDTF">2026-05-02T15:59:05Z</dcterms:modified>
</cp:coreProperties>
</file>